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ty MS\"/>
    </mc:Choice>
  </mc:AlternateContent>
  <bookViews>
    <workbookView xWindow="0" yWindow="0" windowWidth="23040" windowHeight="8808" tabRatio="900" activeTab="18"/>
  </bookViews>
  <sheets>
    <sheet name="1" sheetId="47" r:id="rId1"/>
    <sheet name="2" sheetId="54" r:id="rId2"/>
    <sheet name="3" sheetId="55" r:id="rId3"/>
    <sheet name="4" sheetId="56" r:id="rId4"/>
    <sheet name="5" sheetId="57" r:id="rId5"/>
    <sheet name="6" sheetId="58" r:id="rId6"/>
    <sheet name="7" sheetId="59" r:id="rId7"/>
    <sheet name="8" sheetId="60" r:id="rId8"/>
    <sheet name="9" sheetId="61" r:id="rId9"/>
    <sheet name="11" sheetId="63" r:id="rId10"/>
    <sheet name="12" sheetId="64" r:id="rId11"/>
    <sheet name="13" sheetId="66" r:id="rId12"/>
    <sheet name="CC" sheetId="53" r:id="rId13"/>
    <sheet name="Chi Phí" sheetId="3" r:id="rId14"/>
    <sheet name="TH công" sheetId="52" r:id="rId15"/>
    <sheet name="TH Thu chi" sheetId="24" r:id="rId16"/>
    <sheet name="Thanh toán KL" sheetId="15" r:id="rId17"/>
    <sheet name="TK KL" sheetId="14" r:id="rId18"/>
    <sheet name="Nhà Diễm" sheetId="62" r:id="rId19"/>
    <sheet name="Nhà cô Năm" sheetId="65" r:id="rId20"/>
    <sheet name="Sheet2" sheetId="2" state="hidden" r:id="rId21"/>
  </sheets>
  <definedNames>
    <definedName name="_xlnm._FilterDatabase" localSheetId="0" hidden="1">'1'!$A$3:$R$63</definedName>
    <definedName name="_xlnm._FilterDatabase" localSheetId="9" hidden="1">'11'!$A$3:$X$83</definedName>
    <definedName name="_xlnm._FilterDatabase" localSheetId="10" hidden="1">'12'!$A$3:$X$83</definedName>
    <definedName name="_xlnm._FilterDatabase" localSheetId="11" hidden="1">'13'!$A$3:$U$83</definedName>
    <definedName name="_xlnm._FilterDatabase" localSheetId="2" hidden="1">'3'!$A$3:$U$71</definedName>
    <definedName name="_xlnm._FilterDatabase" localSheetId="3" hidden="1">'4'!$A$3:$V$75</definedName>
    <definedName name="_xlnm._FilterDatabase" localSheetId="4" hidden="1">'5'!$A$3:$U$75</definedName>
    <definedName name="_xlnm._FilterDatabase" localSheetId="5" hidden="1">'6'!$A$3:$U$75</definedName>
    <definedName name="_xlnm._FilterDatabase" localSheetId="6" hidden="1">'7'!$A$3:$U$77</definedName>
    <definedName name="_xlnm._FilterDatabase" localSheetId="7" hidden="1">'8'!$A$3:$U$82</definedName>
    <definedName name="_xlnm._FilterDatabase" localSheetId="8" hidden="1">'9'!$A$3:$W$83</definedName>
    <definedName name="_xlnm._FilterDatabase" localSheetId="18" hidden="1">'Nhà Diễm'!$A$4:$BV$84</definedName>
    <definedName name="_xlnm._FilterDatabase" localSheetId="15" hidden="1">'TH Thu chi'!$A$2:$I$25</definedName>
    <definedName name="_xlnm._FilterDatabase" localSheetId="16" hidden="1">'Thanh toán KL'!$A$4:$BC$39</definedName>
    <definedName name="_xlnm.Print_Area" localSheetId="1">'2'!$A$1:$S$78</definedName>
    <definedName name="_xlnm.Print_Area" localSheetId="2">'3'!$A$1:$T$78</definedName>
    <definedName name="_xlnm.Print_Area" localSheetId="3">'4'!$A$1:$U$78</definedName>
    <definedName name="_xlnm.Print_Area" localSheetId="5">'6'!$A$1:$U$79</definedName>
    <definedName name="_xlnm.Print_Area" localSheetId="6">'7'!$A$1:$T$83</definedName>
    <definedName name="_xlnm.Print_Area" localSheetId="7">'8'!$A$1:$T$86</definedName>
    <definedName name="_xlnm.Print_Area" localSheetId="12">CC!$A$1:$O$84</definedName>
    <definedName name="_xlnm.Print_Titles" localSheetId="1">'2'!$2:$3</definedName>
    <definedName name="_xlnm.Print_Titles" localSheetId="2">'3'!$2:$3</definedName>
    <definedName name="_xlnm.Print_Titles" localSheetId="3">'4'!$2:$3</definedName>
    <definedName name="_xlnm.Print_Titles" localSheetId="5">'6'!$2:$3</definedName>
    <definedName name="_xlnm.Print_Titles" localSheetId="6">'7'!$2:$3</definedName>
    <definedName name="_xlnm.Print_Titles" localSheetId="12">CC!$2:$3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65" l="1"/>
  <c r="H3" i="65" s="1"/>
  <c r="I3" i="65" s="1"/>
  <c r="J3" i="65" s="1"/>
  <c r="K3" i="65" s="1"/>
  <c r="L3" i="65" s="1"/>
  <c r="M3" i="65" s="1"/>
  <c r="N3" i="65" s="1"/>
  <c r="O3" i="65" s="1"/>
  <c r="P3" i="65" s="1"/>
  <c r="Q3" i="65" s="1"/>
  <c r="R3" i="65" s="1"/>
  <c r="S3" i="65" s="1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R86" i="65"/>
  <c r="S86" i="65"/>
  <c r="T86" i="65"/>
  <c r="U86" i="65"/>
  <c r="V86" i="65"/>
  <c r="W86" i="65"/>
  <c r="X86" i="65"/>
  <c r="Y86" i="65"/>
  <c r="Z86" i="65"/>
  <c r="AA86" i="65"/>
  <c r="AB86" i="65"/>
  <c r="AC86" i="65"/>
  <c r="AD86" i="65"/>
  <c r="AE86" i="65"/>
  <c r="AF86" i="65"/>
  <c r="AG86" i="65"/>
  <c r="AH86" i="65"/>
  <c r="AI86" i="65"/>
  <c r="AJ86" i="65"/>
  <c r="AK86" i="65"/>
  <c r="AL86" i="65"/>
  <c r="F103" i="65"/>
  <c r="BU86" i="65"/>
  <c r="BS86" i="65"/>
  <c r="BO86" i="65"/>
  <c r="BN86" i="65"/>
  <c r="BM86" i="65"/>
  <c r="BL86" i="65"/>
  <c r="BK86" i="65"/>
  <c r="BJ86" i="65"/>
  <c r="BI86" i="65"/>
  <c r="BH86" i="65"/>
  <c r="BG86" i="65"/>
  <c r="BF86" i="65"/>
  <c r="BE86" i="65"/>
  <c r="BD86" i="65"/>
  <c r="BC86" i="65"/>
  <c r="BB86" i="65"/>
  <c r="BA86" i="65"/>
  <c r="AZ86" i="65"/>
  <c r="AY86" i="65"/>
  <c r="AX86" i="65"/>
  <c r="AW86" i="65"/>
  <c r="AV86" i="65"/>
  <c r="AU86" i="65"/>
  <c r="AT86" i="65"/>
  <c r="AS86" i="65"/>
  <c r="AR86" i="65"/>
  <c r="AQ86" i="65"/>
  <c r="AP86" i="65"/>
  <c r="AO86" i="65"/>
  <c r="AN86" i="65"/>
  <c r="AM86" i="65"/>
  <c r="BQ84" i="65"/>
  <c r="BP84" i="65"/>
  <c r="BQ83" i="65"/>
  <c r="BP83" i="65"/>
  <c r="BQ82" i="65"/>
  <c r="BP82" i="65"/>
  <c r="BQ81" i="65"/>
  <c r="BP81" i="65"/>
  <c r="BQ80" i="65"/>
  <c r="BP80" i="65"/>
  <c r="BQ79" i="65"/>
  <c r="BP79" i="65"/>
  <c r="BQ78" i="65"/>
  <c r="BP78" i="65"/>
  <c r="BQ77" i="65"/>
  <c r="BP77" i="65"/>
  <c r="BQ76" i="65"/>
  <c r="BR76" i="65" s="1"/>
  <c r="BT76" i="65" s="1"/>
  <c r="BP76" i="65"/>
  <c r="BQ75" i="65"/>
  <c r="BP75" i="65"/>
  <c r="BQ74" i="65"/>
  <c r="BP74" i="65"/>
  <c r="BQ73" i="65"/>
  <c r="BP73" i="65"/>
  <c r="BR73" i="65" s="1"/>
  <c r="BT73" i="65" s="1"/>
  <c r="BQ72" i="65"/>
  <c r="BP72" i="65"/>
  <c r="BQ71" i="65"/>
  <c r="BP71" i="65"/>
  <c r="BQ70" i="65"/>
  <c r="BP70" i="65"/>
  <c r="BQ69" i="65"/>
  <c r="BP69" i="65"/>
  <c r="BQ68" i="65"/>
  <c r="BP68" i="65"/>
  <c r="BQ67" i="65"/>
  <c r="BP67" i="65"/>
  <c r="BQ66" i="65"/>
  <c r="BP66" i="65"/>
  <c r="BQ65" i="65"/>
  <c r="BP65" i="65"/>
  <c r="BQ64" i="65"/>
  <c r="BP64" i="65"/>
  <c r="BQ63" i="65"/>
  <c r="BP63" i="65"/>
  <c r="BQ62" i="65"/>
  <c r="BP62" i="65"/>
  <c r="BQ61" i="65"/>
  <c r="BP61" i="65"/>
  <c r="BQ60" i="65"/>
  <c r="BP60" i="65"/>
  <c r="BQ59" i="65"/>
  <c r="BP59" i="65"/>
  <c r="BR59" i="65" s="1"/>
  <c r="BT59" i="65" s="1"/>
  <c r="BQ58" i="65"/>
  <c r="BP58" i="65"/>
  <c r="BQ57" i="65"/>
  <c r="BP57" i="65"/>
  <c r="BQ56" i="65"/>
  <c r="BP56" i="65"/>
  <c r="BQ55" i="65"/>
  <c r="BP55" i="65"/>
  <c r="BQ54" i="65"/>
  <c r="BP54" i="65"/>
  <c r="BQ53" i="65"/>
  <c r="BP53" i="65"/>
  <c r="BQ52" i="65"/>
  <c r="BP52" i="65"/>
  <c r="BQ51" i="65"/>
  <c r="BP51" i="65"/>
  <c r="BR51" i="65" s="1"/>
  <c r="BT51" i="65" s="1"/>
  <c r="BQ50" i="65"/>
  <c r="BP50" i="65"/>
  <c r="BQ49" i="65"/>
  <c r="BP49" i="65"/>
  <c r="BQ48" i="65"/>
  <c r="BP48" i="65"/>
  <c r="BQ47" i="65"/>
  <c r="BP47" i="65"/>
  <c r="BQ46" i="65"/>
  <c r="BP46" i="65"/>
  <c r="BQ45" i="65"/>
  <c r="BP45" i="65"/>
  <c r="BQ44" i="65"/>
  <c r="BP44" i="65"/>
  <c r="BQ43" i="65"/>
  <c r="BP43" i="65"/>
  <c r="BR43" i="65" s="1"/>
  <c r="BT43" i="65" s="1"/>
  <c r="BQ42" i="65"/>
  <c r="BP42" i="65"/>
  <c r="BQ41" i="65"/>
  <c r="BP41" i="65"/>
  <c r="BR41" i="65" s="1"/>
  <c r="BT41" i="65" s="1"/>
  <c r="BQ40" i="65"/>
  <c r="BP40" i="65"/>
  <c r="BR40" i="65" s="1"/>
  <c r="BT40" i="65" s="1"/>
  <c r="BQ39" i="65"/>
  <c r="BP39" i="65"/>
  <c r="BQ38" i="65"/>
  <c r="BP38" i="65"/>
  <c r="BR38" i="65" s="1"/>
  <c r="BT38" i="65" s="1"/>
  <c r="BQ37" i="65"/>
  <c r="BP37" i="65"/>
  <c r="BQ36" i="65"/>
  <c r="BP36" i="65"/>
  <c r="BR36" i="65" s="1"/>
  <c r="BT36" i="65" s="1"/>
  <c r="BQ35" i="65"/>
  <c r="BP35" i="65"/>
  <c r="BQ34" i="65"/>
  <c r="BP34" i="65"/>
  <c r="BR34" i="65" s="1"/>
  <c r="BT34" i="65" s="1"/>
  <c r="BQ33" i="65"/>
  <c r="BP33" i="65"/>
  <c r="BQ32" i="65"/>
  <c r="BP32" i="65"/>
  <c r="BQ31" i="65"/>
  <c r="BP31" i="65"/>
  <c r="BQ30" i="65"/>
  <c r="BP30" i="65"/>
  <c r="A30" i="65"/>
  <c r="A31" i="65" s="1"/>
  <c r="A32" i="65" s="1"/>
  <c r="A33" i="65" s="1"/>
  <c r="A34" i="65" s="1"/>
  <c r="A35" i="65" s="1"/>
  <c r="A36" i="65" s="1"/>
  <c r="A37" i="65" s="1"/>
  <c r="A38" i="65" s="1"/>
  <c r="A39" i="65" s="1"/>
  <c r="A40" i="65" s="1"/>
  <c r="A41" i="65" s="1"/>
  <c r="A42" i="65" s="1"/>
  <c r="A43" i="65" s="1"/>
  <c r="A44" i="65" s="1"/>
  <c r="A45" i="65" s="1"/>
  <c r="A46" i="65" s="1"/>
  <c r="A47" i="65" s="1"/>
  <c r="A48" i="65" s="1"/>
  <c r="A49" i="65" s="1"/>
  <c r="A50" i="65" s="1"/>
  <c r="A51" i="65" s="1"/>
  <c r="A52" i="65" s="1"/>
  <c r="A53" i="65" s="1"/>
  <c r="A54" i="65" s="1"/>
  <c r="A55" i="65" s="1"/>
  <c r="A56" i="65" s="1"/>
  <c r="A57" i="65" s="1"/>
  <c r="A58" i="65" s="1"/>
  <c r="A59" i="65" s="1"/>
  <c r="A60" i="65" s="1"/>
  <c r="A61" i="65" s="1"/>
  <c r="A62" i="65" s="1"/>
  <c r="A63" i="65" s="1"/>
  <c r="A64" i="65" s="1"/>
  <c r="A65" i="65" s="1"/>
  <c r="A66" i="65" s="1"/>
  <c r="A67" i="65" s="1"/>
  <c r="A68" i="65" s="1"/>
  <c r="A69" i="65" s="1"/>
  <c r="A70" i="65" s="1"/>
  <c r="A71" i="65" s="1"/>
  <c r="A72" i="65" s="1"/>
  <c r="A73" i="65" s="1"/>
  <c r="A74" i="65" s="1"/>
  <c r="A75" i="65" s="1"/>
  <c r="A76" i="65" s="1"/>
  <c r="A77" i="65" s="1"/>
  <c r="A78" i="65" s="1"/>
  <c r="A79" i="65" s="1"/>
  <c r="A80" i="65" s="1"/>
  <c r="A81" i="65" s="1"/>
  <c r="A82" i="65" s="1"/>
  <c r="A83" i="65" s="1"/>
  <c r="A84" i="65" s="1"/>
  <c r="BQ29" i="65"/>
  <c r="BP29" i="65"/>
  <c r="BQ28" i="65"/>
  <c r="BP28" i="65"/>
  <c r="BR28" i="65" s="1"/>
  <c r="BT28" i="65" s="1"/>
  <c r="BQ27" i="65"/>
  <c r="BP27" i="65"/>
  <c r="BQ26" i="65"/>
  <c r="BP26" i="65"/>
  <c r="BQ25" i="65"/>
  <c r="BP25" i="65"/>
  <c r="BQ24" i="65"/>
  <c r="BP24" i="65"/>
  <c r="BR24" i="65" s="1"/>
  <c r="BT24" i="65" s="1"/>
  <c r="BQ23" i="65"/>
  <c r="BP23" i="65"/>
  <c r="BQ22" i="65"/>
  <c r="BP22" i="65"/>
  <c r="BQ21" i="65"/>
  <c r="BR21" i="65" s="1"/>
  <c r="BT21" i="65" s="1"/>
  <c r="BP21" i="65"/>
  <c r="BQ20" i="65"/>
  <c r="BP20" i="65"/>
  <c r="BQ19" i="65"/>
  <c r="BP19" i="65"/>
  <c r="BQ18" i="65"/>
  <c r="BP18" i="65"/>
  <c r="BQ17" i="65"/>
  <c r="BP17" i="65"/>
  <c r="BQ16" i="65"/>
  <c r="BP16" i="65"/>
  <c r="BQ15" i="65"/>
  <c r="BP15" i="65"/>
  <c r="A15" i="65"/>
  <c r="A16" i="65" s="1"/>
  <c r="A17" i="65" s="1"/>
  <c r="A18" i="65" s="1"/>
  <c r="A19" i="65" s="1"/>
  <c r="A20" i="65" s="1"/>
  <c r="A21" i="65" s="1"/>
  <c r="A22" i="65" s="1"/>
  <c r="A23" i="65" s="1"/>
  <c r="A24" i="65" s="1"/>
  <c r="A25" i="65" s="1"/>
  <c r="A26" i="65" s="1"/>
  <c r="A27" i="65" s="1"/>
  <c r="A28" i="65" s="1"/>
  <c r="BQ14" i="65"/>
  <c r="BP14" i="65"/>
  <c r="BQ13" i="65"/>
  <c r="BP13" i="65"/>
  <c r="BQ12" i="65"/>
  <c r="BP12" i="65"/>
  <c r="BQ11" i="65"/>
  <c r="BP11" i="65"/>
  <c r="BR11" i="65" s="1"/>
  <c r="BT11" i="65" s="1"/>
  <c r="BQ10" i="65"/>
  <c r="BP10" i="65"/>
  <c r="BQ9" i="65"/>
  <c r="BP9" i="65"/>
  <c r="BQ8" i="65"/>
  <c r="BP8" i="65"/>
  <c r="A8" i="65"/>
  <c r="A9" i="65" s="1"/>
  <c r="A10" i="65" s="1"/>
  <c r="A11" i="65" s="1"/>
  <c r="A12" i="65" s="1"/>
  <c r="A13" i="65" s="1"/>
  <c r="BQ7" i="65"/>
  <c r="BP7" i="65"/>
  <c r="BR7" i="65" s="1"/>
  <c r="BT7" i="65" s="1"/>
  <c r="BQ6" i="65"/>
  <c r="BP6" i="65"/>
  <c r="BQ5" i="65"/>
  <c r="BP5" i="65"/>
  <c r="BR5" i="65" s="1"/>
  <c r="C5" i="65"/>
  <c r="BR6" i="65" l="1"/>
  <c r="BT6" i="65" s="1"/>
  <c r="BR25" i="65"/>
  <c r="BT25" i="65" s="1"/>
  <c r="BR29" i="65"/>
  <c r="BT29" i="65" s="1"/>
  <c r="BR60" i="65"/>
  <c r="BT60" i="65" s="1"/>
  <c r="BR64" i="65"/>
  <c r="BT64" i="65" s="1"/>
  <c r="BR68" i="65"/>
  <c r="BT68" i="65" s="1"/>
  <c r="BR72" i="65"/>
  <c r="BT72" i="65" s="1"/>
  <c r="BR33" i="65"/>
  <c r="BT33" i="65" s="1"/>
  <c r="BR22" i="65"/>
  <c r="BT22" i="65" s="1"/>
  <c r="BR45" i="65"/>
  <c r="BT45" i="65" s="1"/>
  <c r="BR49" i="65"/>
  <c r="BT49" i="65" s="1"/>
  <c r="BR53" i="65"/>
  <c r="BT53" i="65" s="1"/>
  <c r="BR57" i="65"/>
  <c r="BT57" i="65" s="1"/>
  <c r="BR77" i="65"/>
  <c r="BT77" i="65" s="1"/>
  <c r="BR81" i="65"/>
  <c r="BT81" i="65" s="1"/>
  <c r="BR15" i="65"/>
  <c r="BT15" i="65" s="1"/>
  <c r="BR23" i="65"/>
  <c r="BT23" i="65" s="1"/>
  <c r="BR27" i="65"/>
  <c r="BT27" i="65" s="1"/>
  <c r="BR42" i="65"/>
  <c r="BT42" i="65" s="1"/>
  <c r="BR46" i="65"/>
  <c r="BT46" i="65" s="1"/>
  <c r="BR50" i="65"/>
  <c r="BT50" i="65" s="1"/>
  <c r="BR54" i="65"/>
  <c r="BT54" i="65" s="1"/>
  <c r="BR62" i="65"/>
  <c r="BT62" i="65" s="1"/>
  <c r="BR66" i="65"/>
  <c r="BT66" i="65" s="1"/>
  <c r="BR70" i="65"/>
  <c r="BT70" i="65" s="1"/>
  <c r="BR35" i="65"/>
  <c r="BT35" i="65" s="1"/>
  <c r="BR74" i="65"/>
  <c r="BT74" i="65" s="1"/>
  <c r="BR18" i="65"/>
  <c r="BT18" i="65" s="1"/>
  <c r="BR37" i="65"/>
  <c r="BT37" i="65" s="1"/>
  <c r="BR44" i="65"/>
  <c r="BT44" i="65" s="1"/>
  <c r="BR48" i="65"/>
  <c r="BT48" i="65" s="1"/>
  <c r="BR52" i="65"/>
  <c r="BT52" i="65" s="1"/>
  <c r="BR56" i="65"/>
  <c r="BT56" i="65" s="1"/>
  <c r="BR67" i="65"/>
  <c r="BT67" i="65" s="1"/>
  <c r="BR8" i="65"/>
  <c r="BT8" i="65" s="1"/>
  <c r="BR19" i="65"/>
  <c r="BT19" i="65" s="1"/>
  <c r="BR26" i="65"/>
  <c r="BT26" i="65" s="1"/>
  <c r="BR30" i="65"/>
  <c r="BT30" i="65" s="1"/>
  <c r="BR75" i="65"/>
  <c r="BT75" i="65" s="1"/>
  <c r="BR78" i="65"/>
  <c r="BT78" i="65" s="1"/>
  <c r="BP86" i="65"/>
  <c r="BR16" i="65"/>
  <c r="BT16" i="65" s="1"/>
  <c r="BR20" i="65"/>
  <c r="BT20" i="65" s="1"/>
  <c r="BR79" i="65"/>
  <c r="BT79" i="65" s="1"/>
  <c r="BR83" i="65"/>
  <c r="BT83" i="65" s="1"/>
  <c r="BR61" i="65"/>
  <c r="BT61" i="65" s="1"/>
  <c r="BR65" i="65"/>
  <c r="BT65" i="65" s="1"/>
  <c r="BR69" i="65"/>
  <c r="BT69" i="65" s="1"/>
  <c r="BR10" i="65"/>
  <c r="BT10" i="65" s="1"/>
  <c r="BR14" i="65"/>
  <c r="BT14" i="65" s="1"/>
  <c r="BR17" i="65"/>
  <c r="BT17" i="65" s="1"/>
  <c r="BR39" i="65"/>
  <c r="BT39" i="65" s="1"/>
  <c r="BR58" i="65"/>
  <c r="BT58" i="65" s="1"/>
  <c r="BR31" i="65"/>
  <c r="BT31" i="65" s="1"/>
  <c r="BR55" i="65"/>
  <c r="BT55" i="65" s="1"/>
  <c r="BR71" i="65"/>
  <c r="BT71" i="65" s="1"/>
  <c r="BR32" i="65"/>
  <c r="BT32" i="65" s="1"/>
  <c r="BQ86" i="65"/>
  <c r="BR12" i="65"/>
  <c r="BT12" i="65" s="1"/>
  <c r="BR82" i="65"/>
  <c r="BT82" i="65" s="1"/>
  <c r="BR47" i="65"/>
  <c r="BT47" i="65" s="1"/>
  <c r="BR63" i="65"/>
  <c r="BT63" i="65" s="1"/>
  <c r="BR80" i="65"/>
  <c r="BT80" i="65" s="1"/>
  <c r="BR13" i="65"/>
  <c r="BT13" i="65" s="1"/>
  <c r="BR84" i="65"/>
  <c r="BT84" i="65" s="1"/>
  <c r="BT5" i="65"/>
  <c r="BR9" i="65"/>
  <c r="BT9" i="65" s="1"/>
  <c r="T85" i="66"/>
  <c r="Q85" i="66"/>
  <c r="M85" i="66"/>
  <c r="L85" i="66"/>
  <c r="K85" i="66"/>
  <c r="J85" i="66"/>
  <c r="I85" i="66"/>
  <c r="H85" i="66"/>
  <c r="G85" i="66"/>
  <c r="F85" i="66"/>
  <c r="E85" i="66"/>
  <c r="D85" i="66"/>
  <c r="O83" i="66"/>
  <c r="N83" i="66"/>
  <c r="O82" i="66"/>
  <c r="N82" i="66"/>
  <c r="O81" i="66"/>
  <c r="N81" i="66"/>
  <c r="O80" i="66"/>
  <c r="N80" i="66"/>
  <c r="O79" i="66"/>
  <c r="N79" i="66"/>
  <c r="O78" i="66"/>
  <c r="N78" i="66"/>
  <c r="O77" i="66"/>
  <c r="N77" i="66"/>
  <c r="O76" i="66"/>
  <c r="N76" i="66"/>
  <c r="O75" i="66"/>
  <c r="N75" i="66"/>
  <c r="O74" i="66"/>
  <c r="N74" i="66"/>
  <c r="O73" i="66"/>
  <c r="N73" i="66"/>
  <c r="O72" i="66"/>
  <c r="N72" i="66"/>
  <c r="O71" i="66"/>
  <c r="N71" i="66"/>
  <c r="O70" i="66"/>
  <c r="N70" i="66"/>
  <c r="O69" i="66"/>
  <c r="N69" i="66"/>
  <c r="O68" i="66"/>
  <c r="N68" i="66"/>
  <c r="P67" i="66"/>
  <c r="R67" i="66" s="1"/>
  <c r="O67" i="66"/>
  <c r="N67" i="66"/>
  <c r="O66" i="66"/>
  <c r="N66" i="66"/>
  <c r="O65" i="66"/>
  <c r="N65" i="66"/>
  <c r="O64" i="66"/>
  <c r="N64" i="66"/>
  <c r="O63" i="66"/>
  <c r="N63" i="66"/>
  <c r="O62" i="66"/>
  <c r="N62" i="66"/>
  <c r="O61" i="66"/>
  <c r="N61" i="66"/>
  <c r="O60" i="66"/>
  <c r="N60" i="66"/>
  <c r="O59" i="66"/>
  <c r="N59" i="66"/>
  <c r="O58" i="66"/>
  <c r="N58" i="66"/>
  <c r="O57" i="66"/>
  <c r="N57" i="66"/>
  <c r="O56" i="66"/>
  <c r="N56" i="66"/>
  <c r="O55" i="66"/>
  <c r="N55" i="66"/>
  <c r="O54" i="66"/>
  <c r="N54" i="66"/>
  <c r="O53" i="66"/>
  <c r="N53" i="66"/>
  <c r="O52" i="66"/>
  <c r="N52" i="66"/>
  <c r="O51" i="66"/>
  <c r="N51" i="66"/>
  <c r="O50" i="66"/>
  <c r="N50" i="66"/>
  <c r="O49" i="66"/>
  <c r="N49" i="66"/>
  <c r="O48" i="66"/>
  <c r="P48" i="66" s="1"/>
  <c r="R48" i="66" s="1"/>
  <c r="N48" i="66"/>
  <c r="O47" i="66"/>
  <c r="N47" i="66"/>
  <c r="O46" i="66"/>
  <c r="N46" i="66"/>
  <c r="O45" i="66"/>
  <c r="N45" i="66"/>
  <c r="O44" i="66"/>
  <c r="N44" i="66"/>
  <c r="O43" i="66"/>
  <c r="N43" i="66"/>
  <c r="O42" i="66"/>
  <c r="N42" i="66"/>
  <c r="O41" i="66"/>
  <c r="N41" i="66"/>
  <c r="O40" i="66"/>
  <c r="N40" i="66"/>
  <c r="O39" i="66"/>
  <c r="N39" i="66"/>
  <c r="O38" i="66"/>
  <c r="N38" i="66"/>
  <c r="O37" i="66"/>
  <c r="N37" i="66"/>
  <c r="P37" i="66" s="1"/>
  <c r="R37" i="66" s="1"/>
  <c r="O36" i="66"/>
  <c r="N36" i="66"/>
  <c r="O35" i="66"/>
  <c r="N35" i="66"/>
  <c r="O34" i="66"/>
  <c r="N34" i="66"/>
  <c r="O33" i="66"/>
  <c r="N33" i="66"/>
  <c r="O32" i="66"/>
  <c r="N32" i="66"/>
  <c r="O31" i="66"/>
  <c r="N31" i="66"/>
  <c r="O30" i="66"/>
  <c r="N30" i="66"/>
  <c r="O29" i="66"/>
  <c r="N29" i="66"/>
  <c r="A29" i="66"/>
  <c r="A30" i="66" s="1"/>
  <c r="A31" i="66" s="1"/>
  <c r="A32" i="66" s="1"/>
  <c r="A33" i="66" s="1"/>
  <c r="A34" i="66" s="1"/>
  <c r="A35" i="66" s="1"/>
  <c r="A36" i="66" s="1"/>
  <c r="A37" i="66" s="1"/>
  <c r="A38" i="66" s="1"/>
  <c r="A39" i="66" s="1"/>
  <c r="A40" i="66" s="1"/>
  <c r="A41" i="66" s="1"/>
  <c r="A42" i="66" s="1"/>
  <c r="A43" i="66" s="1"/>
  <c r="A44" i="66" s="1"/>
  <c r="A45" i="66" s="1"/>
  <c r="A46" i="66" s="1"/>
  <c r="A47" i="66" s="1"/>
  <c r="A48" i="66" s="1"/>
  <c r="A49" i="66" s="1"/>
  <c r="A50" i="66" s="1"/>
  <c r="A51" i="66" s="1"/>
  <c r="A52" i="66" s="1"/>
  <c r="A53" i="66" s="1"/>
  <c r="A54" i="66" s="1"/>
  <c r="A55" i="66" s="1"/>
  <c r="A56" i="66" s="1"/>
  <c r="A57" i="66" s="1"/>
  <c r="A58" i="66" s="1"/>
  <c r="A59" i="66" s="1"/>
  <c r="A60" i="66" s="1"/>
  <c r="A61" i="66" s="1"/>
  <c r="A62" i="66" s="1"/>
  <c r="A63" i="66" s="1"/>
  <c r="A64" i="66" s="1"/>
  <c r="A65" i="66" s="1"/>
  <c r="A66" i="66" s="1"/>
  <c r="A67" i="66" s="1"/>
  <c r="A68" i="66" s="1"/>
  <c r="A69" i="66" s="1"/>
  <c r="A70" i="66" s="1"/>
  <c r="A71" i="66" s="1"/>
  <c r="A72" i="66" s="1"/>
  <c r="A73" i="66" s="1"/>
  <c r="A74" i="66" s="1"/>
  <c r="A75" i="66" s="1"/>
  <c r="A76" i="66" s="1"/>
  <c r="A77" i="66" s="1"/>
  <c r="A78" i="66" s="1"/>
  <c r="A79" i="66" s="1"/>
  <c r="A80" i="66" s="1"/>
  <c r="A81" i="66" s="1"/>
  <c r="A82" i="66" s="1"/>
  <c r="A83" i="66" s="1"/>
  <c r="O28" i="66"/>
  <c r="N28" i="66"/>
  <c r="O27" i="66"/>
  <c r="N27" i="66"/>
  <c r="O26" i="66"/>
  <c r="N26" i="66"/>
  <c r="O25" i="66"/>
  <c r="N25" i="66"/>
  <c r="O24" i="66"/>
  <c r="N24" i="66"/>
  <c r="O23" i="66"/>
  <c r="N23" i="66"/>
  <c r="O22" i="66"/>
  <c r="N22" i="66"/>
  <c r="O21" i="66"/>
  <c r="N21" i="66"/>
  <c r="O20" i="66"/>
  <c r="N20" i="66"/>
  <c r="O19" i="66"/>
  <c r="N19" i="66"/>
  <c r="O18" i="66"/>
  <c r="N18" i="66"/>
  <c r="O17" i="66"/>
  <c r="N17" i="66"/>
  <c r="O16" i="66"/>
  <c r="N16" i="66"/>
  <c r="O15" i="66"/>
  <c r="N15" i="66"/>
  <c r="O14" i="66"/>
  <c r="N14" i="66"/>
  <c r="A14" i="66"/>
  <c r="A15" i="66" s="1"/>
  <c r="A16" i="66" s="1"/>
  <c r="A17" i="66" s="1"/>
  <c r="A18" i="66" s="1"/>
  <c r="A19" i="66" s="1"/>
  <c r="A20" i="66" s="1"/>
  <c r="A21" i="66" s="1"/>
  <c r="A22" i="66" s="1"/>
  <c r="A23" i="66" s="1"/>
  <c r="A24" i="66" s="1"/>
  <c r="A25" i="66" s="1"/>
  <c r="A26" i="66" s="1"/>
  <c r="A27" i="66" s="1"/>
  <c r="O13" i="66"/>
  <c r="N13" i="66"/>
  <c r="O12" i="66"/>
  <c r="N12" i="66"/>
  <c r="O11" i="66"/>
  <c r="N11" i="66"/>
  <c r="O10" i="66"/>
  <c r="N10" i="66"/>
  <c r="O9" i="66"/>
  <c r="N9" i="66"/>
  <c r="O8" i="66"/>
  <c r="N8" i="66"/>
  <c r="O7" i="66"/>
  <c r="P7" i="66" s="1"/>
  <c r="R7" i="66" s="1"/>
  <c r="N7" i="66"/>
  <c r="A7" i="66"/>
  <c r="A8" i="66" s="1"/>
  <c r="A9" i="66" s="1"/>
  <c r="A10" i="66" s="1"/>
  <c r="A11" i="66" s="1"/>
  <c r="A12" i="66" s="1"/>
  <c r="O6" i="66"/>
  <c r="N6" i="66"/>
  <c r="O5" i="66"/>
  <c r="N5" i="66"/>
  <c r="O4" i="66"/>
  <c r="N4" i="66"/>
  <c r="F2" i="66"/>
  <c r="G2" i="66" s="1"/>
  <c r="H2" i="66" s="1"/>
  <c r="I2" i="66" s="1"/>
  <c r="J2" i="66" s="1"/>
  <c r="K2" i="66" s="1"/>
  <c r="L2" i="66" s="1"/>
  <c r="M2" i="66" s="1"/>
  <c r="BT86" i="65" l="1"/>
  <c r="BU87" i="65" s="1"/>
  <c r="BR86" i="65"/>
  <c r="P39" i="66"/>
  <c r="R39" i="66" s="1"/>
  <c r="P51" i="66"/>
  <c r="R51" i="66" s="1"/>
  <c r="P59" i="66"/>
  <c r="R59" i="66" s="1"/>
  <c r="P63" i="66"/>
  <c r="R63" i="66" s="1"/>
  <c r="P75" i="66"/>
  <c r="R75" i="66" s="1"/>
  <c r="P13" i="66"/>
  <c r="R13" i="66" s="1"/>
  <c r="P20" i="66"/>
  <c r="R20" i="66" s="1"/>
  <c r="P32" i="66"/>
  <c r="R32" i="66" s="1"/>
  <c r="P52" i="66"/>
  <c r="R52" i="66" s="1"/>
  <c r="P56" i="66"/>
  <c r="R56" i="66" s="1"/>
  <c r="P72" i="66"/>
  <c r="R72" i="66" s="1"/>
  <c r="P76" i="66"/>
  <c r="R76" i="66" s="1"/>
  <c r="P57" i="66"/>
  <c r="R57" i="66" s="1"/>
  <c r="P65" i="66"/>
  <c r="R65" i="66" s="1"/>
  <c r="P50" i="66"/>
  <c r="R50" i="66" s="1"/>
  <c r="P54" i="66"/>
  <c r="R54" i="66" s="1"/>
  <c r="P80" i="66"/>
  <c r="R80" i="66" s="1"/>
  <c r="P78" i="66"/>
  <c r="R78" i="66" s="1"/>
  <c r="P66" i="66"/>
  <c r="R66" i="66" s="1"/>
  <c r="P40" i="66"/>
  <c r="R40" i="66" s="1"/>
  <c r="P36" i="66"/>
  <c r="R36" i="66" s="1"/>
  <c r="P22" i="66"/>
  <c r="R22" i="66" s="1"/>
  <c r="P14" i="66"/>
  <c r="R14" i="66" s="1"/>
  <c r="P12" i="66"/>
  <c r="R12" i="66" s="1"/>
  <c r="P9" i="66"/>
  <c r="R9" i="66" s="1"/>
  <c r="P34" i="66"/>
  <c r="R34" i="66" s="1"/>
  <c r="P41" i="66"/>
  <c r="R41" i="66" s="1"/>
  <c r="P53" i="66"/>
  <c r="R53" i="66" s="1"/>
  <c r="P83" i="66"/>
  <c r="R83" i="66" s="1"/>
  <c r="P64" i="66"/>
  <c r="R64" i="66" s="1"/>
  <c r="P15" i="66"/>
  <c r="R15" i="66" s="1"/>
  <c r="P19" i="66"/>
  <c r="R19" i="66" s="1"/>
  <c r="P27" i="66"/>
  <c r="R27" i="66" s="1"/>
  <c r="P46" i="66"/>
  <c r="R46" i="66" s="1"/>
  <c r="P69" i="66"/>
  <c r="R69" i="66" s="1"/>
  <c r="P35" i="66"/>
  <c r="R35" i="66" s="1"/>
  <c r="P43" i="66"/>
  <c r="R43" i="66" s="1"/>
  <c r="P70" i="66"/>
  <c r="R70" i="66" s="1"/>
  <c r="P17" i="66"/>
  <c r="R17" i="66" s="1"/>
  <c r="P25" i="66"/>
  <c r="R25" i="66" s="1"/>
  <c r="P71" i="66"/>
  <c r="R71" i="66" s="1"/>
  <c r="P26" i="66"/>
  <c r="R26" i="66" s="1"/>
  <c r="P29" i="66"/>
  <c r="R29" i="66" s="1"/>
  <c r="P49" i="66"/>
  <c r="R49" i="66" s="1"/>
  <c r="P6" i="66"/>
  <c r="R6" i="66" s="1"/>
  <c r="P16" i="66"/>
  <c r="R16" i="66" s="1"/>
  <c r="P73" i="66"/>
  <c r="R73" i="66" s="1"/>
  <c r="P10" i="66"/>
  <c r="R10" i="66" s="1"/>
  <c r="P23" i="66"/>
  <c r="R23" i="66" s="1"/>
  <c r="P30" i="66"/>
  <c r="R30" i="66" s="1"/>
  <c r="P33" i="66"/>
  <c r="R33" i="66" s="1"/>
  <c r="P47" i="66"/>
  <c r="R47" i="66" s="1"/>
  <c r="P60" i="66"/>
  <c r="R60" i="66" s="1"/>
  <c r="P74" i="66"/>
  <c r="R74" i="66" s="1"/>
  <c r="P77" i="66"/>
  <c r="R77" i="66" s="1"/>
  <c r="N85" i="66"/>
  <c r="P4" i="66"/>
  <c r="R4" i="66" s="1"/>
  <c r="P11" i="66"/>
  <c r="R11" i="66" s="1"/>
  <c r="P21" i="66"/>
  <c r="R21" i="66" s="1"/>
  <c r="P24" i="66"/>
  <c r="R24" i="66" s="1"/>
  <c r="P31" i="66"/>
  <c r="R31" i="66" s="1"/>
  <c r="P44" i="66"/>
  <c r="R44" i="66" s="1"/>
  <c r="P58" i="66"/>
  <c r="R58" i="66" s="1"/>
  <c r="P61" i="66"/>
  <c r="R61" i="66" s="1"/>
  <c r="P81" i="66"/>
  <c r="R81" i="66" s="1"/>
  <c r="P5" i="66"/>
  <c r="R5" i="66" s="1"/>
  <c r="P8" i="66"/>
  <c r="R8" i="66" s="1"/>
  <c r="P18" i="66"/>
  <c r="R18" i="66" s="1"/>
  <c r="P28" i="66"/>
  <c r="R28" i="66" s="1"/>
  <c r="P38" i="66"/>
  <c r="R38" i="66" s="1"/>
  <c r="P55" i="66"/>
  <c r="R55" i="66" s="1"/>
  <c r="P68" i="66"/>
  <c r="R68" i="66" s="1"/>
  <c r="P82" i="66"/>
  <c r="R82" i="66" s="1"/>
  <c r="P42" i="66"/>
  <c r="R42" i="66" s="1"/>
  <c r="P45" i="66"/>
  <c r="R45" i="66" s="1"/>
  <c r="P62" i="66"/>
  <c r="R62" i="66" s="1"/>
  <c r="P79" i="66"/>
  <c r="R79" i="66" s="1"/>
  <c r="O85" i="66"/>
  <c r="N85" i="64"/>
  <c r="M85" i="64"/>
  <c r="L85" i="64"/>
  <c r="K85" i="64"/>
  <c r="J85" i="64"/>
  <c r="I85" i="64"/>
  <c r="H85" i="64"/>
  <c r="G85" i="64"/>
  <c r="F85" i="64"/>
  <c r="E85" i="64"/>
  <c r="U85" i="64"/>
  <c r="R85" i="64"/>
  <c r="P83" i="64"/>
  <c r="O83" i="64"/>
  <c r="P82" i="64"/>
  <c r="O82" i="64"/>
  <c r="P81" i="64"/>
  <c r="Q81" i="64" s="1"/>
  <c r="S81" i="64" s="1"/>
  <c r="O81" i="64"/>
  <c r="P80" i="64"/>
  <c r="O80" i="64"/>
  <c r="P79" i="64"/>
  <c r="O79" i="64"/>
  <c r="P78" i="64"/>
  <c r="O78" i="64"/>
  <c r="P77" i="64"/>
  <c r="O77" i="64"/>
  <c r="P76" i="64"/>
  <c r="O76" i="64"/>
  <c r="P75" i="64"/>
  <c r="O75" i="64"/>
  <c r="P74" i="64"/>
  <c r="O74" i="64"/>
  <c r="Q73" i="64"/>
  <c r="S73" i="64" s="1"/>
  <c r="P73" i="64"/>
  <c r="O73" i="64"/>
  <c r="P72" i="64"/>
  <c r="O72" i="64"/>
  <c r="P71" i="64"/>
  <c r="O71" i="64"/>
  <c r="Q71" i="64" s="1"/>
  <c r="S71" i="64" s="1"/>
  <c r="P70" i="64"/>
  <c r="O70" i="64"/>
  <c r="P69" i="64"/>
  <c r="O69" i="64"/>
  <c r="P68" i="64"/>
  <c r="O68" i="64"/>
  <c r="Q68" i="64" s="1"/>
  <c r="S68" i="64" s="1"/>
  <c r="P67" i="64"/>
  <c r="O67" i="64"/>
  <c r="P66" i="64"/>
  <c r="O66" i="64"/>
  <c r="P65" i="64"/>
  <c r="O65" i="64"/>
  <c r="P64" i="64"/>
  <c r="O64" i="64"/>
  <c r="P63" i="64"/>
  <c r="O63" i="64"/>
  <c r="P62" i="64"/>
  <c r="O62" i="64"/>
  <c r="P61" i="64"/>
  <c r="O61" i="64"/>
  <c r="P60" i="64"/>
  <c r="O60" i="64"/>
  <c r="P59" i="64"/>
  <c r="O59" i="64"/>
  <c r="Q59" i="64" s="1"/>
  <c r="S59" i="64" s="1"/>
  <c r="P58" i="64"/>
  <c r="O58" i="64"/>
  <c r="P57" i="64"/>
  <c r="O57" i="64"/>
  <c r="P56" i="64"/>
  <c r="O56" i="64"/>
  <c r="P55" i="64"/>
  <c r="O55" i="64"/>
  <c r="Q55" i="64" s="1"/>
  <c r="S55" i="64" s="1"/>
  <c r="P54" i="64"/>
  <c r="O54" i="64"/>
  <c r="P53" i="64"/>
  <c r="O53" i="64"/>
  <c r="P52" i="64"/>
  <c r="O52" i="64"/>
  <c r="P51" i="64"/>
  <c r="O51" i="64"/>
  <c r="P50" i="64"/>
  <c r="O50" i="64"/>
  <c r="P49" i="64"/>
  <c r="O49" i="64"/>
  <c r="P48" i="64"/>
  <c r="O48" i="64"/>
  <c r="P47" i="64"/>
  <c r="O47" i="64"/>
  <c r="P46" i="64"/>
  <c r="O46" i="64"/>
  <c r="P45" i="64"/>
  <c r="O45" i="64"/>
  <c r="P44" i="64"/>
  <c r="O44" i="64"/>
  <c r="P43" i="64"/>
  <c r="O43" i="64"/>
  <c r="P42" i="64"/>
  <c r="O42" i="64"/>
  <c r="P41" i="64"/>
  <c r="O41" i="64"/>
  <c r="P40" i="64"/>
  <c r="O40" i="64"/>
  <c r="P39" i="64"/>
  <c r="O39" i="64"/>
  <c r="P38" i="64"/>
  <c r="O38" i="64"/>
  <c r="P37" i="64"/>
  <c r="O37" i="64"/>
  <c r="P36" i="64"/>
  <c r="O36" i="64"/>
  <c r="P35" i="64"/>
  <c r="O35" i="64"/>
  <c r="P34" i="64"/>
  <c r="O34" i="64"/>
  <c r="P33" i="64"/>
  <c r="O33" i="64"/>
  <c r="P32" i="64"/>
  <c r="O32" i="64"/>
  <c r="P31" i="64"/>
  <c r="O31" i="64"/>
  <c r="P30" i="64"/>
  <c r="O30" i="64"/>
  <c r="P29" i="64"/>
  <c r="O29" i="64"/>
  <c r="A29" i="64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A73" i="64" s="1"/>
  <c r="A74" i="64" s="1"/>
  <c r="A75" i="64" s="1"/>
  <c r="A76" i="64" s="1"/>
  <c r="A77" i="64" s="1"/>
  <c r="A78" i="64" s="1"/>
  <c r="A79" i="64" s="1"/>
  <c r="A80" i="64" s="1"/>
  <c r="A81" i="64" s="1"/>
  <c r="A82" i="64" s="1"/>
  <c r="A83" i="64" s="1"/>
  <c r="P28" i="64"/>
  <c r="O28" i="64"/>
  <c r="Q28" i="64" s="1"/>
  <c r="S28" i="64" s="1"/>
  <c r="P27" i="64"/>
  <c r="O27" i="64"/>
  <c r="P26" i="64"/>
  <c r="O26" i="64"/>
  <c r="P25" i="64"/>
  <c r="O25" i="64"/>
  <c r="Q25" i="64" s="1"/>
  <c r="S25" i="64" s="1"/>
  <c r="P24" i="64"/>
  <c r="O24" i="64"/>
  <c r="P23" i="64"/>
  <c r="O23" i="64"/>
  <c r="P22" i="64"/>
  <c r="O22" i="64"/>
  <c r="P21" i="64"/>
  <c r="O21" i="64"/>
  <c r="Q21" i="64" s="1"/>
  <c r="S21" i="64" s="1"/>
  <c r="P20" i="64"/>
  <c r="O20" i="64"/>
  <c r="P19" i="64"/>
  <c r="O19" i="64"/>
  <c r="P18" i="64"/>
  <c r="O18" i="64"/>
  <c r="P17" i="64"/>
  <c r="O17" i="64"/>
  <c r="P16" i="64"/>
  <c r="O16" i="64"/>
  <c r="Q16" i="64" s="1"/>
  <c r="S16" i="64" s="1"/>
  <c r="P15" i="64"/>
  <c r="O15" i="64"/>
  <c r="P14" i="64"/>
  <c r="O14" i="64"/>
  <c r="A14" i="64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P13" i="64"/>
  <c r="O13" i="64"/>
  <c r="P12" i="64"/>
  <c r="O12" i="64"/>
  <c r="P11" i="64"/>
  <c r="O11" i="64"/>
  <c r="P10" i="64"/>
  <c r="O10" i="64"/>
  <c r="P9" i="64"/>
  <c r="O9" i="64"/>
  <c r="P8" i="64"/>
  <c r="O8" i="64"/>
  <c r="P7" i="64"/>
  <c r="O7" i="64"/>
  <c r="A7" i="64"/>
  <c r="A8" i="64" s="1"/>
  <c r="A9" i="64" s="1"/>
  <c r="A10" i="64" s="1"/>
  <c r="A11" i="64" s="1"/>
  <c r="A12" i="64" s="1"/>
  <c r="P6" i="64"/>
  <c r="O6" i="64"/>
  <c r="P5" i="64"/>
  <c r="O5" i="64"/>
  <c r="Q5" i="64" s="1"/>
  <c r="S5" i="64" s="1"/>
  <c r="P4" i="64"/>
  <c r="O4" i="64"/>
  <c r="C4" i="64"/>
  <c r="G2" i="64"/>
  <c r="H2" i="64" s="1"/>
  <c r="I2" i="64" s="1"/>
  <c r="J2" i="64" s="1"/>
  <c r="K2" i="64" s="1"/>
  <c r="L2" i="64" s="1"/>
  <c r="M2" i="64" s="1"/>
  <c r="N2" i="64" s="1"/>
  <c r="R85" i="66" l="1"/>
  <c r="T86" i="66" s="1"/>
  <c r="P85" i="66"/>
  <c r="Q51" i="64"/>
  <c r="S51" i="64" s="1"/>
  <c r="Q69" i="64"/>
  <c r="S69" i="64" s="1"/>
  <c r="Q58" i="64"/>
  <c r="S58" i="64" s="1"/>
  <c r="Q26" i="64"/>
  <c r="S26" i="64" s="1"/>
  <c r="Q7" i="64"/>
  <c r="S7" i="64" s="1"/>
  <c r="Q27" i="64"/>
  <c r="S27" i="64" s="1"/>
  <c r="Q74" i="64"/>
  <c r="S74" i="64" s="1"/>
  <c r="Q82" i="64"/>
  <c r="S82" i="64" s="1"/>
  <c r="Q24" i="64"/>
  <c r="S24" i="64" s="1"/>
  <c r="Q32" i="64"/>
  <c r="S32" i="64" s="1"/>
  <c r="Q48" i="64"/>
  <c r="S48" i="64" s="1"/>
  <c r="Q56" i="64"/>
  <c r="S56" i="64" s="1"/>
  <c r="Q75" i="64"/>
  <c r="S75" i="64" s="1"/>
  <c r="Q83" i="64"/>
  <c r="S83" i="64" s="1"/>
  <c r="Q12" i="64"/>
  <c r="S12" i="64" s="1"/>
  <c r="Q33" i="64"/>
  <c r="S33" i="64" s="1"/>
  <c r="Q37" i="64"/>
  <c r="S37" i="64" s="1"/>
  <c r="Q45" i="64"/>
  <c r="S45" i="64" s="1"/>
  <c r="Q53" i="64"/>
  <c r="S53" i="64" s="1"/>
  <c r="Q66" i="64"/>
  <c r="S66" i="64" s="1"/>
  <c r="Q42" i="64"/>
  <c r="S42" i="64" s="1"/>
  <c r="Q46" i="64"/>
  <c r="S46" i="64" s="1"/>
  <c r="Q50" i="64"/>
  <c r="S50" i="64" s="1"/>
  <c r="Q54" i="64"/>
  <c r="S54" i="64" s="1"/>
  <c r="Q64" i="64"/>
  <c r="S64" i="64" s="1"/>
  <c r="Q49" i="64"/>
  <c r="S49" i="64" s="1"/>
  <c r="Q44" i="64"/>
  <c r="S44" i="64" s="1"/>
  <c r="Q43" i="64"/>
  <c r="S43" i="64" s="1"/>
  <c r="Q40" i="64"/>
  <c r="S40" i="64" s="1"/>
  <c r="Q29" i="64"/>
  <c r="S29" i="64" s="1"/>
  <c r="Q18" i="64"/>
  <c r="S18" i="64" s="1"/>
  <c r="Q15" i="64"/>
  <c r="S15" i="64" s="1"/>
  <c r="Q11" i="64"/>
  <c r="S11" i="64" s="1"/>
  <c r="Q4" i="64"/>
  <c r="S4" i="64" s="1"/>
  <c r="Q70" i="64"/>
  <c r="S70" i="64" s="1"/>
  <c r="Q17" i="64"/>
  <c r="S17" i="64" s="1"/>
  <c r="Q22" i="64"/>
  <c r="S22" i="64" s="1"/>
  <c r="Q8" i="64"/>
  <c r="S8" i="64" s="1"/>
  <c r="Q23" i="64"/>
  <c r="S23" i="64" s="1"/>
  <c r="Q30" i="64"/>
  <c r="S30" i="64" s="1"/>
  <c r="Q34" i="64"/>
  <c r="S34" i="64" s="1"/>
  <c r="Q38" i="64"/>
  <c r="S38" i="64" s="1"/>
  <c r="Q57" i="64"/>
  <c r="S57" i="64" s="1"/>
  <c r="Q61" i="64"/>
  <c r="S61" i="64" s="1"/>
  <c r="Q65" i="64"/>
  <c r="S65" i="64" s="1"/>
  <c r="Q80" i="64"/>
  <c r="S80" i="64" s="1"/>
  <c r="Q13" i="64"/>
  <c r="S13" i="64" s="1"/>
  <c r="Q20" i="64"/>
  <c r="S20" i="64" s="1"/>
  <c r="Q35" i="64"/>
  <c r="S35" i="64" s="1"/>
  <c r="Q39" i="64"/>
  <c r="S39" i="64" s="1"/>
  <c r="Q62" i="64"/>
  <c r="S62" i="64" s="1"/>
  <c r="Q77" i="64"/>
  <c r="S77" i="64" s="1"/>
  <c r="Q78" i="64"/>
  <c r="S78" i="64" s="1"/>
  <c r="Q6" i="64"/>
  <c r="S6" i="64" s="1"/>
  <c r="Q9" i="64"/>
  <c r="S9" i="64" s="1"/>
  <c r="Q14" i="64"/>
  <c r="S14" i="64" s="1"/>
  <c r="Q36" i="64"/>
  <c r="S36" i="64" s="1"/>
  <c r="Q52" i="64"/>
  <c r="S52" i="64" s="1"/>
  <c r="Q67" i="64"/>
  <c r="S67" i="64" s="1"/>
  <c r="Q76" i="64"/>
  <c r="S76" i="64" s="1"/>
  <c r="Q79" i="64"/>
  <c r="S79" i="64" s="1"/>
  <c r="Q10" i="64"/>
  <c r="S10" i="64" s="1"/>
  <c r="Q60" i="64"/>
  <c r="S60" i="64" s="1"/>
  <c r="P85" i="64"/>
  <c r="Q19" i="64"/>
  <c r="S19" i="64" s="1"/>
  <c r="Q31" i="64"/>
  <c r="S31" i="64" s="1"/>
  <c r="Q41" i="64"/>
  <c r="S41" i="64" s="1"/>
  <c r="Q47" i="64"/>
  <c r="S47" i="64" s="1"/>
  <c r="Q63" i="64"/>
  <c r="S63" i="64" s="1"/>
  <c r="Q72" i="64"/>
  <c r="S72" i="64" s="1"/>
  <c r="O85" i="64"/>
  <c r="BP84" i="62"/>
  <c r="BP82" i="62"/>
  <c r="BP80" i="62"/>
  <c r="BP77" i="62"/>
  <c r="BP64" i="62"/>
  <c r="BP50" i="62"/>
  <c r="BP45" i="62"/>
  <c r="BP44" i="62"/>
  <c r="BP32" i="62"/>
  <c r="BP24" i="62"/>
  <c r="BP23" i="62"/>
  <c r="BP15" i="62"/>
  <c r="BP12" i="62"/>
  <c r="BP10" i="62"/>
  <c r="BP9" i="62"/>
  <c r="BQ9" i="62"/>
  <c r="W85" i="63"/>
  <c r="T85" i="63"/>
  <c r="P85" i="63"/>
  <c r="M85" i="63"/>
  <c r="L85" i="63"/>
  <c r="K85" i="63"/>
  <c r="J85" i="63"/>
  <c r="I85" i="63"/>
  <c r="H85" i="63"/>
  <c r="G85" i="63"/>
  <c r="F85" i="63"/>
  <c r="E85" i="63"/>
  <c r="R83" i="63"/>
  <c r="Q83" i="63"/>
  <c r="R82" i="63"/>
  <c r="Q82" i="63"/>
  <c r="R81" i="63"/>
  <c r="Q81" i="63"/>
  <c r="R80" i="63"/>
  <c r="Q80" i="63"/>
  <c r="R79" i="63"/>
  <c r="Q79" i="63"/>
  <c r="R78" i="63"/>
  <c r="Q78" i="63"/>
  <c r="R77" i="63"/>
  <c r="Q77" i="63"/>
  <c r="R76" i="63"/>
  <c r="Q76" i="63"/>
  <c r="R75" i="63"/>
  <c r="Q75" i="63"/>
  <c r="R74" i="63"/>
  <c r="Q74" i="63"/>
  <c r="R73" i="63"/>
  <c r="Q73" i="63"/>
  <c r="R72" i="63"/>
  <c r="Q72" i="63"/>
  <c r="R71" i="63"/>
  <c r="Q71" i="63"/>
  <c r="R70" i="63"/>
  <c r="Q70" i="63"/>
  <c r="R69" i="63"/>
  <c r="Q69" i="63"/>
  <c r="R68" i="63"/>
  <c r="Q68" i="63"/>
  <c r="R67" i="63"/>
  <c r="Q67" i="63"/>
  <c r="R66" i="63"/>
  <c r="Q66" i="63"/>
  <c r="R65" i="63"/>
  <c r="Q65" i="63"/>
  <c r="R64" i="63"/>
  <c r="Q64" i="63"/>
  <c r="R63" i="63"/>
  <c r="Q63" i="63"/>
  <c r="R62" i="63"/>
  <c r="Q62" i="63"/>
  <c r="R61" i="63"/>
  <c r="Q61" i="63"/>
  <c r="R60" i="63"/>
  <c r="Q60" i="63"/>
  <c r="R59" i="63"/>
  <c r="Q59" i="63"/>
  <c r="R58" i="63"/>
  <c r="Q58" i="63"/>
  <c r="R57" i="63"/>
  <c r="Q57" i="63"/>
  <c r="R56" i="63"/>
  <c r="Q56" i="63"/>
  <c r="R55" i="63"/>
  <c r="Q55" i="63"/>
  <c r="R54" i="63"/>
  <c r="Q54" i="63"/>
  <c r="R53" i="63"/>
  <c r="Q53" i="63"/>
  <c r="R52" i="63"/>
  <c r="Q52" i="63"/>
  <c r="R51" i="63"/>
  <c r="Q51" i="63"/>
  <c r="R50" i="63"/>
  <c r="Q50" i="63"/>
  <c r="R49" i="63"/>
  <c r="Q49" i="63"/>
  <c r="R48" i="63"/>
  <c r="Q48" i="63"/>
  <c r="R47" i="63"/>
  <c r="Q47" i="63"/>
  <c r="R46" i="63"/>
  <c r="Q46" i="63"/>
  <c r="R45" i="63"/>
  <c r="Q45" i="63"/>
  <c r="R44" i="63"/>
  <c r="Q44" i="63"/>
  <c r="R43" i="63"/>
  <c r="Q43" i="63"/>
  <c r="R42" i="63"/>
  <c r="Q42" i="63"/>
  <c r="R41" i="63"/>
  <c r="Q41" i="63"/>
  <c r="R40" i="63"/>
  <c r="Q40" i="63"/>
  <c r="R39" i="63"/>
  <c r="Q39" i="63"/>
  <c r="R38" i="63"/>
  <c r="Q38" i="63"/>
  <c r="R37" i="63"/>
  <c r="Q37" i="63"/>
  <c r="R36" i="63"/>
  <c r="Q36" i="63"/>
  <c r="R35" i="63"/>
  <c r="Q35" i="63"/>
  <c r="R34" i="63"/>
  <c r="Q34" i="63"/>
  <c r="R33" i="63"/>
  <c r="Q33" i="63"/>
  <c r="R32" i="63"/>
  <c r="Q32" i="63"/>
  <c r="R31" i="63"/>
  <c r="Q31" i="63"/>
  <c r="R30" i="63"/>
  <c r="Q30" i="63"/>
  <c r="R29" i="63"/>
  <c r="Q29" i="63"/>
  <c r="A29" i="63"/>
  <c r="A30" i="63" s="1"/>
  <c r="A31" i="63" s="1"/>
  <c r="A32" i="63" s="1"/>
  <c r="A33" i="63" s="1"/>
  <c r="A34" i="63" s="1"/>
  <c r="A35" i="63" s="1"/>
  <c r="A36" i="63" s="1"/>
  <c r="A37" i="63" s="1"/>
  <c r="A38" i="63" s="1"/>
  <c r="A39" i="63" s="1"/>
  <c r="A40" i="63" s="1"/>
  <c r="A41" i="63" s="1"/>
  <c r="A42" i="63" s="1"/>
  <c r="A43" i="63" s="1"/>
  <c r="A44" i="63" s="1"/>
  <c r="A45" i="63" s="1"/>
  <c r="A46" i="63" s="1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A58" i="63" s="1"/>
  <c r="A59" i="63" s="1"/>
  <c r="A60" i="63" s="1"/>
  <c r="A61" i="63" s="1"/>
  <c r="A62" i="63" s="1"/>
  <c r="A63" i="63" s="1"/>
  <c r="A64" i="63" s="1"/>
  <c r="A65" i="63" s="1"/>
  <c r="A66" i="63" s="1"/>
  <c r="A67" i="63" s="1"/>
  <c r="A68" i="63" s="1"/>
  <c r="A69" i="63" s="1"/>
  <c r="A70" i="63" s="1"/>
  <c r="A71" i="63" s="1"/>
  <c r="A72" i="63" s="1"/>
  <c r="A73" i="63" s="1"/>
  <c r="A74" i="63" s="1"/>
  <c r="A75" i="63" s="1"/>
  <c r="A76" i="63" s="1"/>
  <c r="A77" i="63" s="1"/>
  <c r="A78" i="63" s="1"/>
  <c r="A79" i="63" s="1"/>
  <c r="A80" i="63" s="1"/>
  <c r="A81" i="63" s="1"/>
  <c r="A82" i="63" s="1"/>
  <c r="A83" i="63" s="1"/>
  <c r="R28" i="63"/>
  <c r="Q28" i="63"/>
  <c r="R27" i="63"/>
  <c r="Q27" i="63"/>
  <c r="R26" i="63"/>
  <c r="Q26" i="63"/>
  <c r="R25" i="63"/>
  <c r="Q25" i="63"/>
  <c r="R24" i="63"/>
  <c r="Q24" i="63"/>
  <c r="R23" i="63"/>
  <c r="Q23" i="63"/>
  <c r="R22" i="63"/>
  <c r="Q22" i="63"/>
  <c r="R21" i="63"/>
  <c r="Q21" i="63"/>
  <c r="R20" i="63"/>
  <c r="Q20" i="63"/>
  <c r="R19" i="63"/>
  <c r="Q19" i="63"/>
  <c r="R18" i="63"/>
  <c r="Q18" i="63"/>
  <c r="R17" i="63"/>
  <c r="Q17" i="63"/>
  <c r="R16" i="63"/>
  <c r="Q16" i="63"/>
  <c r="S16" i="63" s="1"/>
  <c r="U16" i="63" s="1"/>
  <c r="R15" i="63"/>
  <c r="Q15" i="63"/>
  <c r="R14" i="63"/>
  <c r="Q14" i="63"/>
  <c r="A14" i="63"/>
  <c r="A15" i="63" s="1"/>
  <c r="A16" i="63" s="1"/>
  <c r="A17" i="63" s="1"/>
  <c r="A18" i="63" s="1"/>
  <c r="A19" i="63" s="1"/>
  <c r="A20" i="63" s="1"/>
  <c r="A21" i="63" s="1"/>
  <c r="A22" i="63" s="1"/>
  <c r="A23" i="63" s="1"/>
  <c r="A24" i="63" s="1"/>
  <c r="A25" i="63" s="1"/>
  <c r="A26" i="63" s="1"/>
  <c r="A27" i="63" s="1"/>
  <c r="R13" i="63"/>
  <c r="Q13" i="63"/>
  <c r="S13" i="63" s="1"/>
  <c r="U13" i="63" s="1"/>
  <c r="R12" i="63"/>
  <c r="Q12" i="63"/>
  <c r="R11" i="63"/>
  <c r="Q11" i="63"/>
  <c r="R10" i="63"/>
  <c r="Q10" i="63"/>
  <c r="R9" i="63"/>
  <c r="Q9" i="63"/>
  <c r="R8" i="63"/>
  <c r="Q8" i="63"/>
  <c r="R7" i="63"/>
  <c r="Q7" i="63"/>
  <c r="A7" i="63"/>
  <c r="A8" i="63" s="1"/>
  <c r="A9" i="63" s="1"/>
  <c r="A10" i="63" s="1"/>
  <c r="A11" i="63" s="1"/>
  <c r="A12" i="63" s="1"/>
  <c r="R6" i="63"/>
  <c r="Q6" i="63"/>
  <c r="R5" i="63"/>
  <c r="Q5" i="63"/>
  <c r="R4" i="63"/>
  <c r="Q4" i="63"/>
  <c r="C4" i="63"/>
  <c r="G2" i="63"/>
  <c r="H2" i="63" s="1"/>
  <c r="I2" i="63" s="1"/>
  <c r="J2" i="63" s="1"/>
  <c r="K2" i="63" s="1"/>
  <c r="L2" i="63" s="1"/>
  <c r="M2" i="63" s="1"/>
  <c r="N2" i="63" s="1"/>
  <c r="Q85" i="64" l="1"/>
  <c r="S85" i="64"/>
  <c r="U86" i="64" s="1"/>
  <c r="S63" i="63"/>
  <c r="U63" i="63" s="1"/>
  <c r="S67" i="63"/>
  <c r="U67" i="63" s="1"/>
  <c r="S71" i="63"/>
  <c r="U71" i="63" s="1"/>
  <c r="S52" i="63"/>
  <c r="U52" i="63" s="1"/>
  <c r="S44" i="63"/>
  <c r="U44" i="63" s="1"/>
  <c r="S28" i="63"/>
  <c r="U28" i="63" s="1"/>
  <c r="S30" i="63"/>
  <c r="U30" i="63" s="1"/>
  <c r="S50" i="63"/>
  <c r="U50" i="63" s="1"/>
  <c r="S58" i="63"/>
  <c r="U58" i="63" s="1"/>
  <c r="S21" i="63"/>
  <c r="U21" i="63" s="1"/>
  <c r="S68" i="63"/>
  <c r="U68" i="63" s="1"/>
  <c r="S57" i="63"/>
  <c r="U57" i="63" s="1"/>
  <c r="S65" i="63"/>
  <c r="U65" i="63" s="1"/>
  <c r="S73" i="63"/>
  <c r="U73" i="63" s="1"/>
  <c r="S39" i="63"/>
  <c r="U39" i="63" s="1"/>
  <c r="S55" i="63"/>
  <c r="U55" i="63" s="1"/>
  <c r="S23" i="63"/>
  <c r="U23" i="63" s="1"/>
  <c r="S10" i="63"/>
  <c r="U10" i="63" s="1"/>
  <c r="S32" i="63"/>
  <c r="U32" i="63" s="1"/>
  <c r="S60" i="63"/>
  <c r="U60" i="63" s="1"/>
  <c r="S75" i="63"/>
  <c r="U75" i="63" s="1"/>
  <c r="S26" i="63"/>
  <c r="U26" i="63" s="1"/>
  <c r="S81" i="63"/>
  <c r="U81" i="63" s="1"/>
  <c r="S82" i="63"/>
  <c r="U82" i="63" s="1"/>
  <c r="S79" i="63"/>
  <c r="U79" i="63" s="1"/>
  <c r="S66" i="63"/>
  <c r="U66" i="63" s="1"/>
  <c r="S47" i="63"/>
  <c r="U47" i="63" s="1"/>
  <c r="S38" i="63"/>
  <c r="U38" i="63" s="1"/>
  <c r="S36" i="63"/>
  <c r="U36" i="63" s="1"/>
  <c r="S31" i="63"/>
  <c r="U31" i="63" s="1"/>
  <c r="S22" i="63"/>
  <c r="U22" i="63" s="1"/>
  <c r="S19" i="63"/>
  <c r="U19" i="63" s="1"/>
  <c r="S18" i="63"/>
  <c r="U18" i="63" s="1"/>
  <c r="S15" i="63"/>
  <c r="U15" i="63" s="1"/>
  <c r="S14" i="63"/>
  <c r="U14" i="63" s="1"/>
  <c r="S8" i="63"/>
  <c r="U8" i="63" s="1"/>
  <c r="R85" i="63"/>
  <c r="S5" i="63"/>
  <c r="U5" i="63" s="1"/>
  <c r="S6" i="63"/>
  <c r="U6" i="63" s="1"/>
  <c r="S11" i="63"/>
  <c r="U11" i="63" s="1"/>
  <c r="S17" i="63"/>
  <c r="U17" i="63" s="1"/>
  <c r="S20" i="63"/>
  <c r="U20" i="63" s="1"/>
  <c r="S35" i="63"/>
  <c r="U35" i="63" s="1"/>
  <c r="S41" i="63"/>
  <c r="U41" i="63" s="1"/>
  <c r="S45" i="63"/>
  <c r="U45" i="63" s="1"/>
  <c r="S48" i="63"/>
  <c r="U48" i="63" s="1"/>
  <c r="S62" i="63"/>
  <c r="U62" i="63" s="1"/>
  <c r="S29" i="63"/>
  <c r="U29" i="63" s="1"/>
  <c r="S59" i="63"/>
  <c r="U59" i="63" s="1"/>
  <c r="S69" i="63"/>
  <c r="U69" i="63" s="1"/>
  <c r="S72" i="63"/>
  <c r="U72" i="63" s="1"/>
  <c r="S76" i="63"/>
  <c r="U76" i="63" s="1"/>
  <c r="S83" i="63"/>
  <c r="U83" i="63" s="1"/>
  <c r="S12" i="63"/>
  <c r="U12" i="63" s="1"/>
  <c r="S42" i="63"/>
  <c r="U42" i="63" s="1"/>
  <c r="S46" i="63"/>
  <c r="U46" i="63" s="1"/>
  <c r="S34" i="63"/>
  <c r="U34" i="63" s="1"/>
  <c r="S4" i="63"/>
  <c r="U4" i="63" s="1"/>
  <c r="S7" i="63"/>
  <c r="U7" i="63" s="1"/>
  <c r="S9" i="63"/>
  <c r="U9" i="63" s="1"/>
  <c r="S24" i="63"/>
  <c r="U24" i="63" s="1"/>
  <c r="S27" i="63"/>
  <c r="U27" i="63" s="1"/>
  <c r="S43" i="63"/>
  <c r="U43" i="63" s="1"/>
  <c r="S49" i="63"/>
  <c r="U49" i="63" s="1"/>
  <c r="S53" i="63"/>
  <c r="U53" i="63" s="1"/>
  <c r="S56" i="63"/>
  <c r="U56" i="63" s="1"/>
  <c r="S70" i="63"/>
  <c r="U70" i="63" s="1"/>
  <c r="S77" i="63"/>
  <c r="U77" i="63" s="1"/>
  <c r="S80" i="63"/>
  <c r="U80" i="63" s="1"/>
  <c r="S25" i="63"/>
  <c r="U25" i="63" s="1"/>
  <c r="S33" i="63"/>
  <c r="U33" i="63" s="1"/>
  <c r="S37" i="63"/>
  <c r="U37" i="63" s="1"/>
  <c r="S40" i="63"/>
  <c r="U40" i="63" s="1"/>
  <c r="S54" i="63"/>
  <c r="U54" i="63" s="1"/>
  <c r="S74" i="63"/>
  <c r="U74" i="63" s="1"/>
  <c r="S78" i="63"/>
  <c r="U78" i="63" s="1"/>
  <c r="S51" i="63"/>
  <c r="U51" i="63" s="1"/>
  <c r="S61" i="63"/>
  <c r="U61" i="63" s="1"/>
  <c r="S64" i="63"/>
  <c r="U64" i="63" s="1"/>
  <c r="Q85" i="63"/>
  <c r="F103" i="62"/>
  <c r="G86" i="62"/>
  <c r="H86" i="62"/>
  <c r="I86" i="62"/>
  <c r="J86" i="62"/>
  <c r="K86" i="62"/>
  <c r="L86" i="62"/>
  <c r="M86" i="62"/>
  <c r="N86" i="62"/>
  <c r="O86" i="62"/>
  <c r="P86" i="62"/>
  <c r="Q86" i="62"/>
  <c r="R86" i="62"/>
  <c r="S86" i="62"/>
  <c r="T86" i="62"/>
  <c r="U86" i="62"/>
  <c r="V86" i="62"/>
  <c r="W86" i="62"/>
  <c r="X86" i="62"/>
  <c r="Y86" i="62"/>
  <c r="Z86" i="62"/>
  <c r="AA86" i="62"/>
  <c r="AB86" i="62"/>
  <c r="AC86" i="62"/>
  <c r="AD86" i="62"/>
  <c r="AE86" i="62"/>
  <c r="AF86" i="62"/>
  <c r="AG86" i="62"/>
  <c r="AH86" i="62"/>
  <c r="AI86" i="62"/>
  <c r="AJ86" i="62"/>
  <c r="AK86" i="62"/>
  <c r="AL86" i="62"/>
  <c r="AM86" i="62"/>
  <c r="AN86" i="62"/>
  <c r="AO86" i="62"/>
  <c r="AP86" i="62"/>
  <c r="AQ86" i="62"/>
  <c r="AR86" i="62"/>
  <c r="AS86" i="62"/>
  <c r="AT86" i="62"/>
  <c r="AU86" i="62"/>
  <c r="AV86" i="62"/>
  <c r="AW86" i="62"/>
  <c r="AX86" i="62"/>
  <c r="AY86" i="62"/>
  <c r="AZ86" i="62"/>
  <c r="BA86" i="62"/>
  <c r="BB86" i="62"/>
  <c r="BC86" i="62"/>
  <c r="BD86" i="62"/>
  <c r="BE86" i="62"/>
  <c r="BF86" i="62"/>
  <c r="BG86" i="62"/>
  <c r="BH86" i="62"/>
  <c r="BI86" i="62"/>
  <c r="BJ86" i="62"/>
  <c r="BK86" i="62"/>
  <c r="BL86" i="62"/>
  <c r="BM86" i="62"/>
  <c r="BN86" i="62"/>
  <c r="BO86" i="62"/>
  <c r="BS86" i="62"/>
  <c r="BU86" i="62"/>
  <c r="F86" i="62"/>
  <c r="E86" i="62"/>
  <c r="BQ84" i="62"/>
  <c r="BQ83" i="62"/>
  <c r="BP83" i="62"/>
  <c r="BQ82" i="62"/>
  <c r="BQ81" i="62"/>
  <c r="BP81" i="62"/>
  <c r="BQ80" i="62"/>
  <c r="BQ79" i="62"/>
  <c r="BP79" i="62"/>
  <c r="BQ78" i="62"/>
  <c r="BP78" i="62"/>
  <c r="BQ77" i="62"/>
  <c r="BQ76" i="62"/>
  <c r="BP76" i="62"/>
  <c r="BQ75" i="62"/>
  <c r="BP75" i="62"/>
  <c r="BQ74" i="62"/>
  <c r="BP74" i="62"/>
  <c r="BQ73" i="62"/>
  <c r="BP73" i="62"/>
  <c r="BQ72" i="62"/>
  <c r="BP72" i="62"/>
  <c r="BQ71" i="62"/>
  <c r="BP71" i="62"/>
  <c r="BQ70" i="62"/>
  <c r="BP70" i="62"/>
  <c r="BQ69" i="62"/>
  <c r="BP69" i="62"/>
  <c r="BQ68" i="62"/>
  <c r="BP68" i="62"/>
  <c r="BQ67" i="62"/>
  <c r="BP67" i="62"/>
  <c r="BQ66" i="62"/>
  <c r="BP66" i="62"/>
  <c r="BQ65" i="62"/>
  <c r="BP65" i="62"/>
  <c r="BQ64" i="62"/>
  <c r="BQ63" i="62"/>
  <c r="BP63" i="62"/>
  <c r="BQ62" i="62"/>
  <c r="BP62" i="62"/>
  <c r="BQ61" i="62"/>
  <c r="BP61" i="62"/>
  <c r="BQ60" i="62"/>
  <c r="BP60" i="62"/>
  <c r="BQ59" i="62"/>
  <c r="BP59" i="62"/>
  <c r="BQ58" i="62"/>
  <c r="BP58" i="62"/>
  <c r="BQ57" i="62"/>
  <c r="BP57" i="62"/>
  <c r="BQ56" i="62"/>
  <c r="BP56" i="62"/>
  <c r="BQ55" i="62"/>
  <c r="BP55" i="62"/>
  <c r="BQ54" i="62"/>
  <c r="BP54" i="62"/>
  <c r="BQ53" i="62"/>
  <c r="BP53" i="62"/>
  <c r="BQ52" i="62"/>
  <c r="BP52" i="62"/>
  <c r="BQ51" i="62"/>
  <c r="BP51" i="62"/>
  <c r="BQ50" i="62"/>
  <c r="BQ49" i="62"/>
  <c r="BP49" i="62"/>
  <c r="BQ48" i="62"/>
  <c r="BP48" i="62"/>
  <c r="BQ47" i="62"/>
  <c r="BP47" i="62"/>
  <c r="BQ46" i="62"/>
  <c r="BP46" i="62"/>
  <c r="BQ45" i="62"/>
  <c r="BQ44" i="62"/>
  <c r="BQ43" i="62"/>
  <c r="BP43" i="62"/>
  <c r="BQ42" i="62"/>
  <c r="BP42" i="62"/>
  <c r="BQ41" i="62"/>
  <c r="BP41" i="62"/>
  <c r="BQ40" i="62"/>
  <c r="BP40" i="62"/>
  <c r="BQ39" i="62"/>
  <c r="BP39" i="62"/>
  <c r="BQ38" i="62"/>
  <c r="BP38" i="62"/>
  <c r="BQ37" i="62"/>
  <c r="BP37" i="62"/>
  <c r="BQ36" i="62"/>
  <c r="BP36" i="62"/>
  <c r="BQ35" i="62"/>
  <c r="BP35" i="62"/>
  <c r="BQ34" i="62"/>
  <c r="BP34" i="62"/>
  <c r="BQ33" i="62"/>
  <c r="BP33" i="62"/>
  <c r="BQ32" i="62"/>
  <c r="BQ31" i="62"/>
  <c r="BP31" i="62"/>
  <c r="BQ30" i="62"/>
  <c r="BP30" i="62"/>
  <c r="A30" i="62"/>
  <c r="A31" i="62" s="1"/>
  <c r="A32" i="62" s="1"/>
  <c r="A33" i="62" s="1"/>
  <c r="A34" i="62" s="1"/>
  <c r="A35" i="62" s="1"/>
  <c r="A36" i="62" s="1"/>
  <c r="A37" i="62" s="1"/>
  <c r="A38" i="62" s="1"/>
  <c r="A39" i="62" s="1"/>
  <c r="A40" i="62" s="1"/>
  <c r="A41" i="62" s="1"/>
  <c r="A42" i="62" s="1"/>
  <c r="A43" i="62" s="1"/>
  <c r="A44" i="62" s="1"/>
  <c r="A45" i="62" s="1"/>
  <c r="A46" i="62" s="1"/>
  <c r="A47" i="62" s="1"/>
  <c r="A48" i="62" s="1"/>
  <c r="A49" i="62" s="1"/>
  <c r="A50" i="62" s="1"/>
  <c r="A51" i="62" s="1"/>
  <c r="A52" i="62" s="1"/>
  <c r="A53" i="62" s="1"/>
  <c r="A54" i="62" s="1"/>
  <c r="A55" i="62" s="1"/>
  <c r="A56" i="62" s="1"/>
  <c r="A57" i="62" s="1"/>
  <c r="A58" i="62" s="1"/>
  <c r="A59" i="62" s="1"/>
  <c r="A60" i="62" s="1"/>
  <c r="A61" i="62" s="1"/>
  <c r="A62" i="62" s="1"/>
  <c r="A63" i="62" s="1"/>
  <c r="A64" i="62" s="1"/>
  <c r="A65" i="62" s="1"/>
  <c r="A66" i="62" s="1"/>
  <c r="A67" i="62" s="1"/>
  <c r="A68" i="62" s="1"/>
  <c r="A69" i="62" s="1"/>
  <c r="A70" i="62" s="1"/>
  <c r="A71" i="62" s="1"/>
  <c r="A72" i="62" s="1"/>
  <c r="A73" i="62" s="1"/>
  <c r="A74" i="62" s="1"/>
  <c r="A75" i="62" s="1"/>
  <c r="A76" i="62" s="1"/>
  <c r="A77" i="62" s="1"/>
  <c r="A78" i="62" s="1"/>
  <c r="A79" i="62" s="1"/>
  <c r="A80" i="62" s="1"/>
  <c r="A81" i="62" s="1"/>
  <c r="A82" i="62" s="1"/>
  <c r="A83" i="62" s="1"/>
  <c r="A84" i="62" s="1"/>
  <c r="BQ29" i="62"/>
  <c r="BP29" i="62"/>
  <c r="BQ28" i="62"/>
  <c r="BP28" i="62"/>
  <c r="BQ27" i="62"/>
  <c r="BP27" i="62"/>
  <c r="BQ26" i="62"/>
  <c r="BP26" i="62"/>
  <c r="BQ25" i="62"/>
  <c r="BP25" i="62"/>
  <c r="BQ24" i="62"/>
  <c r="BQ23" i="62"/>
  <c r="BQ22" i="62"/>
  <c r="BP22" i="62"/>
  <c r="BQ21" i="62"/>
  <c r="BP21" i="62"/>
  <c r="BQ20" i="62"/>
  <c r="BP20" i="62"/>
  <c r="BQ19" i="62"/>
  <c r="BP19" i="62"/>
  <c r="BQ18" i="62"/>
  <c r="BP18" i="62"/>
  <c r="BQ17" i="62"/>
  <c r="BP17" i="62"/>
  <c r="BQ16" i="62"/>
  <c r="BP16" i="62"/>
  <c r="BQ15" i="62"/>
  <c r="A15" i="62"/>
  <c r="A16" i="62" s="1"/>
  <c r="A17" i="62" s="1"/>
  <c r="A18" i="62" s="1"/>
  <c r="A19" i="62" s="1"/>
  <c r="A20" i="62" s="1"/>
  <c r="A21" i="62" s="1"/>
  <c r="A22" i="62" s="1"/>
  <c r="A23" i="62" s="1"/>
  <c r="A24" i="62" s="1"/>
  <c r="A25" i="62" s="1"/>
  <c r="A26" i="62" s="1"/>
  <c r="A27" i="62" s="1"/>
  <c r="A28" i="62" s="1"/>
  <c r="BQ14" i="62"/>
  <c r="BP14" i="62"/>
  <c r="BQ13" i="62"/>
  <c r="BP13" i="62"/>
  <c r="BQ12" i="62"/>
  <c r="BQ11" i="62"/>
  <c r="BP11" i="62"/>
  <c r="BQ10" i="62"/>
  <c r="BQ8" i="62"/>
  <c r="BP8" i="62"/>
  <c r="A8" i="62"/>
  <c r="A9" i="62" s="1"/>
  <c r="A10" i="62" s="1"/>
  <c r="A11" i="62" s="1"/>
  <c r="A12" i="62" s="1"/>
  <c r="A13" i="62" s="1"/>
  <c r="BQ7" i="62"/>
  <c r="BP7" i="62"/>
  <c r="BQ6" i="62"/>
  <c r="BP6" i="62"/>
  <c r="BQ5" i="62"/>
  <c r="BP5" i="62"/>
  <c r="C5" i="62"/>
  <c r="G3" i="62"/>
  <c r="H3" i="62" s="1"/>
  <c r="I3" i="62" s="1"/>
  <c r="J3" i="62" s="1"/>
  <c r="K3" i="62" s="1"/>
  <c r="L3" i="62" s="1"/>
  <c r="M3" i="62" s="1"/>
  <c r="N3" i="62" s="1"/>
  <c r="O3" i="62" s="1"/>
  <c r="P3" i="62" s="1"/>
  <c r="Q3" i="62" s="1"/>
  <c r="P83" i="61"/>
  <c r="R83" i="61" s="1"/>
  <c r="T83" i="61" s="1"/>
  <c r="Q83" i="61"/>
  <c r="P32" i="61"/>
  <c r="Q32" i="61"/>
  <c r="V85" i="61"/>
  <c r="S85" i="61"/>
  <c r="O85" i="61"/>
  <c r="M85" i="61"/>
  <c r="L85" i="61"/>
  <c r="K85" i="61"/>
  <c r="J85" i="61"/>
  <c r="I85" i="61"/>
  <c r="H85" i="61"/>
  <c r="G85" i="61"/>
  <c r="F85" i="61"/>
  <c r="E85" i="61"/>
  <c r="Q82" i="61"/>
  <c r="P82" i="61"/>
  <c r="Q81" i="61"/>
  <c r="P81" i="61"/>
  <c r="Q80" i="61"/>
  <c r="P80" i="61"/>
  <c r="Q79" i="61"/>
  <c r="P79" i="61"/>
  <c r="Q78" i="61"/>
  <c r="P78" i="61"/>
  <c r="Q77" i="61"/>
  <c r="P77" i="61"/>
  <c r="Q76" i="61"/>
  <c r="P76" i="61"/>
  <c r="Q75" i="61"/>
  <c r="P75" i="61"/>
  <c r="Q74" i="61"/>
  <c r="P74" i="61"/>
  <c r="Q73" i="61"/>
  <c r="P73" i="61"/>
  <c r="Q72" i="61"/>
  <c r="P72" i="61"/>
  <c r="Q71" i="61"/>
  <c r="P71" i="61"/>
  <c r="Q70" i="61"/>
  <c r="P70" i="61"/>
  <c r="Q69" i="61"/>
  <c r="P69" i="61"/>
  <c r="Q68" i="61"/>
  <c r="P68" i="61"/>
  <c r="Q67" i="61"/>
  <c r="P67" i="61"/>
  <c r="Q66" i="61"/>
  <c r="P66" i="61"/>
  <c r="Q65" i="61"/>
  <c r="P65" i="61"/>
  <c r="Q64" i="61"/>
  <c r="P64" i="61"/>
  <c r="Q63" i="61"/>
  <c r="P63" i="61"/>
  <c r="Q62" i="61"/>
  <c r="P62" i="61"/>
  <c r="Q61" i="61"/>
  <c r="P61" i="61"/>
  <c r="Q60" i="61"/>
  <c r="P60" i="61"/>
  <c r="Q59" i="61"/>
  <c r="P59" i="61"/>
  <c r="Q58" i="61"/>
  <c r="P58" i="61"/>
  <c r="Q57" i="61"/>
  <c r="P57" i="61"/>
  <c r="Q56" i="61"/>
  <c r="P56" i="61"/>
  <c r="Q55" i="61"/>
  <c r="P55" i="61"/>
  <c r="Q54" i="61"/>
  <c r="P54" i="61"/>
  <c r="Q53" i="61"/>
  <c r="P53" i="61"/>
  <c r="Q52" i="61"/>
  <c r="P52" i="61"/>
  <c r="Q51" i="61"/>
  <c r="P51" i="61"/>
  <c r="Q50" i="61"/>
  <c r="P50" i="61"/>
  <c r="Q49" i="61"/>
  <c r="P49" i="61"/>
  <c r="Q48" i="61"/>
  <c r="P48" i="61"/>
  <c r="Q47" i="61"/>
  <c r="P47" i="61"/>
  <c r="Q46" i="61"/>
  <c r="P46" i="61"/>
  <c r="Q45" i="61"/>
  <c r="P45" i="61"/>
  <c r="Q44" i="61"/>
  <c r="P44" i="61"/>
  <c r="Q43" i="61"/>
  <c r="P43" i="61"/>
  <c r="Q42" i="61"/>
  <c r="P42" i="61"/>
  <c r="Q41" i="61"/>
  <c r="P41" i="61"/>
  <c r="Q40" i="61"/>
  <c r="P40" i="61"/>
  <c r="Q39" i="61"/>
  <c r="P39" i="61"/>
  <c r="Q38" i="61"/>
  <c r="R38" i="61" s="1"/>
  <c r="T38" i="61" s="1"/>
  <c r="P38" i="61"/>
  <c r="Q37" i="61"/>
  <c r="P37" i="61"/>
  <c r="Q36" i="61"/>
  <c r="P36" i="61"/>
  <c r="Q35" i="61"/>
  <c r="P35" i="61"/>
  <c r="Q34" i="61"/>
  <c r="P34" i="61"/>
  <c r="Q33" i="61"/>
  <c r="P33" i="61"/>
  <c r="Q31" i="61"/>
  <c r="P31" i="61"/>
  <c r="Q30" i="61"/>
  <c r="P30" i="61"/>
  <c r="Q29" i="61"/>
  <c r="P29" i="61"/>
  <c r="A29" i="61"/>
  <c r="A30" i="61" s="1"/>
  <c r="A31" i="61" s="1"/>
  <c r="Q28" i="61"/>
  <c r="P28" i="61"/>
  <c r="Q27" i="61"/>
  <c r="P27" i="61"/>
  <c r="Q26" i="61"/>
  <c r="P26" i="61"/>
  <c r="Q25" i="61"/>
  <c r="P25" i="61"/>
  <c r="R25" i="61" s="1"/>
  <c r="T25" i="61" s="1"/>
  <c r="Q24" i="61"/>
  <c r="P24" i="61"/>
  <c r="Q23" i="61"/>
  <c r="P23" i="61"/>
  <c r="Q22" i="61"/>
  <c r="P22" i="61"/>
  <c r="Q21" i="61"/>
  <c r="P21" i="61"/>
  <c r="R21" i="61" s="1"/>
  <c r="T21" i="61" s="1"/>
  <c r="Q20" i="61"/>
  <c r="P20" i="61"/>
  <c r="Q19" i="61"/>
  <c r="P19" i="61"/>
  <c r="Q18" i="61"/>
  <c r="P18" i="61"/>
  <c r="Q17" i="61"/>
  <c r="P17" i="61"/>
  <c r="R17" i="61" s="1"/>
  <c r="T17" i="61" s="1"/>
  <c r="Q16" i="61"/>
  <c r="P16" i="61"/>
  <c r="Q15" i="61"/>
  <c r="P15" i="61"/>
  <c r="Q14" i="61"/>
  <c r="P14" i="61"/>
  <c r="A14" i="61"/>
  <c r="A15" i="61" s="1"/>
  <c r="A16" i="61" s="1"/>
  <c r="A17" i="61" s="1"/>
  <c r="A18" i="61" s="1"/>
  <c r="A19" i="61" s="1"/>
  <c r="A20" i="61" s="1"/>
  <c r="A21" i="61" s="1"/>
  <c r="A22" i="61" s="1"/>
  <c r="A23" i="61" s="1"/>
  <c r="A24" i="61" s="1"/>
  <c r="A25" i="61" s="1"/>
  <c r="A26" i="61" s="1"/>
  <c r="A27" i="61" s="1"/>
  <c r="Q13" i="61"/>
  <c r="P13" i="61"/>
  <c r="Q12" i="61"/>
  <c r="P12" i="61"/>
  <c r="Q11" i="61"/>
  <c r="P11" i="61"/>
  <c r="Q10" i="61"/>
  <c r="P10" i="61"/>
  <c r="Q9" i="61"/>
  <c r="P9" i="61"/>
  <c r="Q8" i="61"/>
  <c r="P8" i="61"/>
  <c r="Q7" i="61"/>
  <c r="P7" i="61"/>
  <c r="A7" i="61"/>
  <c r="A8" i="61" s="1"/>
  <c r="A9" i="61" s="1"/>
  <c r="A10" i="61" s="1"/>
  <c r="A11" i="61" s="1"/>
  <c r="A12" i="61" s="1"/>
  <c r="Q6" i="61"/>
  <c r="P6" i="61"/>
  <c r="Q5" i="61"/>
  <c r="P5" i="61"/>
  <c r="Q4" i="61"/>
  <c r="P4" i="61"/>
  <c r="C4" i="61"/>
  <c r="G2" i="61"/>
  <c r="H2" i="61" s="1"/>
  <c r="I2" i="61" s="1"/>
  <c r="J2" i="61" s="1"/>
  <c r="K2" i="61" s="1"/>
  <c r="L2" i="61" s="1"/>
  <c r="M2" i="61" s="1"/>
  <c r="N2" i="61" s="1"/>
  <c r="O2" i="61" s="1"/>
  <c r="BR78" i="62" l="1"/>
  <c r="BT78" i="62" s="1"/>
  <c r="BR14" i="62"/>
  <c r="BT14" i="62" s="1"/>
  <c r="BR5" i="62"/>
  <c r="BR51" i="62"/>
  <c r="BT51" i="62" s="1"/>
  <c r="BR67" i="62"/>
  <c r="BT67" i="62" s="1"/>
  <c r="BR75" i="62"/>
  <c r="BT75" i="62" s="1"/>
  <c r="U85" i="63"/>
  <c r="W86" i="63" s="1"/>
  <c r="S85" i="63"/>
  <c r="R7" i="61"/>
  <c r="T7" i="61" s="1"/>
  <c r="R30" i="61"/>
  <c r="T30" i="61" s="1"/>
  <c r="R35" i="61"/>
  <c r="T35" i="61" s="1"/>
  <c r="R51" i="61"/>
  <c r="T51" i="61" s="1"/>
  <c r="R80" i="61"/>
  <c r="T80" i="61" s="1"/>
  <c r="R32" i="61"/>
  <c r="T32" i="61" s="1"/>
  <c r="R20" i="61"/>
  <c r="T20" i="61" s="1"/>
  <c r="R61" i="61"/>
  <c r="T61" i="61" s="1"/>
  <c r="R12" i="61"/>
  <c r="T12" i="61" s="1"/>
  <c r="BQ86" i="62"/>
  <c r="BP86" i="62"/>
  <c r="BR10" i="62"/>
  <c r="BT10" i="62" s="1"/>
  <c r="BR79" i="62"/>
  <c r="BT79" i="62" s="1"/>
  <c r="BR83" i="62"/>
  <c r="BT83" i="62" s="1"/>
  <c r="BR11" i="62"/>
  <c r="BT11" i="62" s="1"/>
  <c r="BR33" i="62"/>
  <c r="BT33" i="62" s="1"/>
  <c r="BR45" i="62"/>
  <c r="BT45" i="62" s="1"/>
  <c r="BR49" i="62"/>
  <c r="BT49" i="62" s="1"/>
  <c r="BR8" i="62"/>
  <c r="BT8" i="62" s="1"/>
  <c r="BR12" i="62"/>
  <c r="BT12" i="62" s="1"/>
  <c r="BR54" i="62"/>
  <c r="BT54" i="62" s="1"/>
  <c r="BR58" i="62"/>
  <c r="BT58" i="62" s="1"/>
  <c r="BR62" i="62"/>
  <c r="BT62" i="62" s="1"/>
  <c r="BR66" i="62"/>
  <c r="BT66" i="62" s="1"/>
  <c r="BR23" i="62"/>
  <c r="BT23" i="62" s="1"/>
  <c r="BR74" i="62"/>
  <c r="BT74" i="62" s="1"/>
  <c r="R3" i="62"/>
  <c r="S3" i="62" s="1"/>
  <c r="BR9" i="62"/>
  <c r="BT9" i="62" s="1"/>
  <c r="BR76" i="62"/>
  <c r="BT76" i="62" s="1"/>
  <c r="BR84" i="62"/>
  <c r="BT84" i="62" s="1"/>
  <c r="BR6" i="62"/>
  <c r="BT6" i="62" s="1"/>
  <c r="BR35" i="62"/>
  <c r="BT35" i="62" s="1"/>
  <c r="BR39" i="62"/>
  <c r="BT39" i="62" s="1"/>
  <c r="BR59" i="62"/>
  <c r="BT59" i="62" s="1"/>
  <c r="BR70" i="62"/>
  <c r="BT70" i="62" s="1"/>
  <c r="BR32" i="62"/>
  <c r="BT32" i="62" s="1"/>
  <c r="BR81" i="62"/>
  <c r="BT81" i="62" s="1"/>
  <c r="BR7" i="62"/>
  <c r="BT7" i="62" s="1"/>
  <c r="BR17" i="62"/>
  <c r="BT17" i="62" s="1"/>
  <c r="BR21" i="62"/>
  <c r="BT21" i="62" s="1"/>
  <c r="BR56" i="62"/>
  <c r="BT56" i="62" s="1"/>
  <c r="BR71" i="62"/>
  <c r="BT71" i="62" s="1"/>
  <c r="BR22" i="62"/>
  <c r="BT22" i="62" s="1"/>
  <c r="BR15" i="62"/>
  <c r="BT15" i="62" s="1"/>
  <c r="BR34" i="62"/>
  <c r="BT34" i="62" s="1"/>
  <c r="BR46" i="62"/>
  <c r="BT46" i="62" s="1"/>
  <c r="BR52" i="62"/>
  <c r="BT52" i="62" s="1"/>
  <c r="BR19" i="62"/>
  <c r="BT19" i="62" s="1"/>
  <c r="BR53" i="62"/>
  <c r="BT53" i="62" s="1"/>
  <c r="BR60" i="62"/>
  <c r="BT60" i="62" s="1"/>
  <c r="BR42" i="62"/>
  <c r="BT42" i="62" s="1"/>
  <c r="BR68" i="62"/>
  <c r="BT68" i="62" s="1"/>
  <c r="BR43" i="62"/>
  <c r="BT43" i="62" s="1"/>
  <c r="BR36" i="62"/>
  <c r="BT36" i="62" s="1"/>
  <c r="BR40" i="62"/>
  <c r="BT40" i="62" s="1"/>
  <c r="BR44" i="62"/>
  <c r="BT44" i="62" s="1"/>
  <c r="BR48" i="62"/>
  <c r="BT48" i="62" s="1"/>
  <c r="BR55" i="62"/>
  <c r="BT55" i="62" s="1"/>
  <c r="BR13" i="62"/>
  <c r="BT13" i="62" s="1"/>
  <c r="BR50" i="62"/>
  <c r="BR16" i="62"/>
  <c r="BT16" i="62" s="1"/>
  <c r="BR20" i="62"/>
  <c r="BT20" i="62" s="1"/>
  <c r="BR26" i="62"/>
  <c r="BT26" i="62" s="1"/>
  <c r="BR30" i="62"/>
  <c r="BT30" i="62" s="1"/>
  <c r="BR47" i="62"/>
  <c r="BT47" i="62" s="1"/>
  <c r="BR57" i="62"/>
  <c r="BT57" i="62" s="1"/>
  <c r="BR69" i="62"/>
  <c r="BT69" i="62" s="1"/>
  <c r="BR72" i="62"/>
  <c r="BT72" i="62" s="1"/>
  <c r="BR27" i="62"/>
  <c r="BT27" i="62" s="1"/>
  <c r="BR37" i="62"/>
  <c r="BT37" i="62" s="1"/>
  <c r="BR41" i="62"/>
  <c r="BT41" i="62" s="1"/>
  <c r="BR63" i="62"/>
  <c r="BT63" i="62" s="1"/>
  <c r="BR73" i="62"/>
  <c r="BT73" i="62" s="1"/>
  <c r="BR82" i="62"/>
  <c r="BT82" i="62" s="1"/>
  <c r="BR24" i="62"/>
  <c r="BT24" i="62" s="1"/>
  <c r="BR28" i="62"/>
  <c r="BT28" i="62" s="1"/>
  <c r="BR31" i="62"/>
  <c r="BT31" i="62" s="1"/>
  <c r="BR38" i="62"/>
  <c r="BT38" i="62" s="1"/>
  <c r="BR61" i="62"/>
  <c r="BT61" i="62" s="1"/>
  <c r="BR64" i="62"/>
  <c r="BT64" i="62" s="1"/>
  <c r="BR18" i="62"/>
  <c r="BT18" i="62" s="1"/>
  <c r="BR25" i="62"/>
  <c r="BT25" i="62" s="1"/>
  <c r="BR29" i="62"/>
  <c r="BT29" i="62" s="1"/>
  <c r="BR65" i="62"/>
  <c r="BT65" i="62" s="1"/>
  <c r="BR77" i="62"/>
  <c r="BT77" i="62" s="1"/>
  <c r="BR80" i="62"/>
  <c r="BT80" i="62" s="1"/>
  <c r="BT5" i="62"/>
  <c r="R54" i="61"/>
  <c r="T54" i="61" s="1"/>
  <c r="R48" i="61"/>
  <c r="T48" i="61" s="1"/>
  <c r="R43" i="61"/>
  <c r="T43" i="61" s="1"/>
  <c r="R64" i="61"/>
  <c r="T64" i="61" s="1"/>
  <c r="R70" i="61"/>
  <c r="T70" i="61" s="1"/>
  <c r="R74" i="61"/>
  <c r="T74" i="61" s="1"/>
  <c r="R82" i="61"/>
  <c r="T82" i="61" s="1"/>
  <c r="R75" i="61"/>
  <c r="T75" i="61" s="1"/>
  <c r="A32" i="61"/>
  <c r="A33" i="61" s="1"/>
  <c r="A34" i="61" s="1"/>
  <c r="A35" i="61" s="1"/>
  <c r="A36" i="61" s="1"/>
  <c r="A37" i="61" s="1"/>
  <c r="A38" i="61" s="1"/>
  <c r="A39" i="61" s="1"/>
  <c r="A40" i="61" s="1"/>
  <c r="A41" i="61" s="1"/>
  <c r="A42" i="61" s="1"/>
  <c r="A43" i="61" s="1"/>
  <c r="A44" i="61" s="1"/>
  <c r="A45" i="61" s="1"/>
  <c r="A46" i="61" s="1"/>
  <c r="A47" i="61" s="1"/>
  <c r="A48" i="61" s="1"/>
  <c r="A49" i="61" s="1"/>
  <c r="A50" i="61" s="1"/>
  <c r="A51" i="61" s="1"/>
  <c r="A52" i="61" s="1"/>
  <c r="A53" i="61" s="1"/>
  <c r="A54" i="61" s="1"/>
  <c r="A55" i="61" s="1"/>
  <c r="A56" i="61" s="1"/>
  <c r="A57" i="61" s="1"/>
  <c r="A58" i="61" s="1"/>
  <c r="A59" i="61" s="1"/>
  <c r="A60" i="61" s="1"/>
  <c r="A61" i="61" s="1"/>
  <c r="A62" i="61" s="1"/>
  <c r="A63" i="61" s="1"/>
  <c r="A64" i="61" s="1"/>
  <c r="A65" i="61" s="1"/>
  <c r="A66" i="61" s="1"/>
  <c r="A67" i="61" s="1"/>
  <c r="A68" i="61" s="1"/>
  <c r="A69" i="61" s="1"/>
  <c r="A70" i="61" s="1"/>
  <c r="A71" i="61" s="1"/>
  <c r="A72" i="61" s="1"/>
  <c r="A73" i="61" s="1"/>
  <c r="A74" i="61" s="1"/>
  <c r="A75" i="61" s="1"/>
  <c r="A76" i="61" s="1"/>
  <c r="A77" i="61" s="1"/>
  <c r="A78" i="61" s="1"/>
  <c r="A79" i="61" s="1"/>
  <c r="A80" i="61" s="1"/>
  <c r="A81" i="61" s="1"/>
  <c r="A82" i="61" s="1"/>
  <c r="A83" i="61" s="1"/>
  <c r="R59" i="61"/>
  <c r="T59" i="61" s="1"/>
  <c r="R67" i="61"/>
  <c r="T67" i="61" s="1"/>
  <c r="R33" i="61"/>
  <c r="T33" i="61" s="1"/>
  <c r="R45" i="61"/>
  <c r="T45" i="61" s="1"/>
  <c r="R34" i="61"/>
  <c r="T34" i="61" s="1"/>
  <c r="R42" i="61"/>
  <c r="T42" i="61" s="1"/>
  <c r="R46" i="61"/>
  <c r="T46" i="61" s="1"/>
  <c r="R50" i="61"/>
  <c r="T50" i="61" s="1"/>
  <c r="R77" i="61"/>
  <c r="T77" i="61" s="1"/>
  <c r="R81" i="61"/>
  <c r="T81" i="61" s="1"/>
  <c r="R13" i="61"/>
  <c r="T13" i="61" s="1"/>
  <c r="R19" i="61"/>
  <c r="T19" i="61" s="1"/>
  <c r="R58" i="61"/>
  <c r="T58" i="61" s="1"/>
  <c r="R62" i="61"/>
  <c r="T62" i="61" s="1"/>
  <c r="R66" i="61"/>
  <c r="T66" i="61" s="1"/>
  <c r="R28" i="61"/>
  <c r="T28" i="61" s="1"/>
  <c r="R26" i="61"/>
  <c r="T26" i="61" s="1"/>
  <c r="R23" i="61"/>
  <c r="T23" i="61" s="1"/>
  <c r="R22" i="61"/>
  <c r="T22" i="61" s="1"/>
  <c r="R16" i="61"/>
  <c r="T16" i="61" s="1"/>
  <c r="R15" i="61"/>
  <c r="T15" i="61" s="1"/>
  <c r="R14" i="61"/>
  <c r="T14" i="61" s="1"/>
  <c r="R10" i="61"/>
  <c r="T10" i="61" s="1"/>
  <c r="R9" i="61"/>
  <c r="T9" i="61" s="1"/>
  <c r="R8" i="61"/>
  <c r="T8" i="61" s="1"/>
  <c r="R5" i="61"/>
  <c r="T5" i="61" s="1"/>
  <c r="R31" i="61"/>
  <c r="T31" i="61" s="1"/>
  <c r="R37" i="61"/>
  <c r="T37" i="61" s="1"/>
  <c r="R40" i="61"/>
  <c r="T40" i="61" s="1"/>
  <c r="R53" i="61"/>
  <c r="T53" i="61" s="1"/>
  <c r="R56" i="61"/>
  <c r="T56" i="61" s="1"/>
  <c r="R69" i="61"/>
  <c r="T69" i="61" s="1"/>
  <c r="R72" i="61"/>
  <c r="T72" i="61" s="1"/>
  <c r="R79" i="61"/>
  <c r="T79" i="61" s="1"/>
  <c r="R4" i="61"/>
  <c r="R29" i="61"/>
  <c r="T29" i="61" s="1"/>
  <c r="R41" i="61"/>
  <c r="T41" i="61" s="1"/>
  <c r="R44" i="61"/>
  <c r="T44" i="61" s="1"/>
  <c r="R47" i="61"/>
  <c r="T47" i="61" s="1"/>
  <c r="R57" i="61"/>
  <c r="T57" i="61" s="1"/>
  <c r="R60" i="61"/>
  <c r="T60" i="61" s="1"/>
  <c r="R63" i="61"/>
  <c r="T63" i="61" s="1"/>
  <c r="R73" i="61"/>
  <c r="T73" i="61" s="1"/>
  <c r="Q85" i="61"/>
  <c r="R18" i="61"/>
  <c r="T18" i="61" s="1"/>
  <c r="R24" i="61"/>
  <c r="T24" i="61" s="1"/>
  <c r="R27" i="61"/>
  <c r="T27" i="61" s="1"/>
  <c r="R6" i="61"/>
  <c r="T6" i="61" s="1"/>
  <c r="R11" i="61"/>
  <c r="T11" i="61" s="1"/>
  <c r="R36" i="61"/>
  <c r="T36" i="61" s="1"/>
  <c r="R39" i="61"/>
  <c r="T39" i="61" s="1"/>
  <c r="R49" i="61"/>
  <c r="T49" i="61" s="1"/>
  <c r="R52" i="61"/>
  <c r="T52" i="61" s="1"/>
  <c r="R55" i="61"/>
  <c r="T55" i="61" s="1"/>
  <c r="R65" i="61"/>
  <c r="T65" i="61" s="1"/>
  <c r="R68" i="61"/>
  <c r="T68" i="61" s="1"/>
  <c r="R71" i="61"/>
  <c r="T71" i="61" s="1"/>
  <c r="R78" i="61"/>
  <c r="T78" i="61" s="1"/>
  <c r="R76" i="61"/>
  <c r="T76" i="61" s="1"/>
  <c r="P85" i="61"/>
  <c r="G85" i="60"/>
  <c r="H85" i="60"/>
  <c r="I85" i="60"/>
  <c r="J85" i="60"/>
  <c r="K85" i="60"/>
  <c r="L85" i="60"/>
  <c r="M85" i="60"/>
  <c r="N85" i="60"/>
  <c r="F85" i="60"/>
  <c r="O78" i="60"/>
  <c r="P78" i="60"/>
  <c r="O79" i="60"/>
  <c r="P79" i="60"/>
  <c r="O80" i="60"/>
  <c r="P80" i="60"/>
  <c r="O81" i="60"/>
  <c r="P81" i="60"/>
  <c r="O82" i="60"/>
  <c r="P82" i="60"/>
  <c r="T85" i="60"/>
  <c r="R85" i="60"/>
  <c r="E85" i="60"/>
  <c r="P76" i="60"/>
  <c r="O76" i="60"/>
  <c r="P77" i="60"/>
  <c r="O77" i="60"/>
  <c r="P75" i="60"/>
  <c r="O75" i="60"/>
  <c r="P74" i="60"/>
  <c r="O74" i="60"/>
  <c r="P73" i="60"/>
  <c r="O73" i="60"/>
  <c r="P72" i="60"/>
  <c r="O72" i="60"/>
  <c r="P71" i="60"/>
  <c r="O71" i="60"/>
  <c r="P70" i="60"/>
  <c r="O70" i="60"/>
  <c r="P69" i="60"/>
  <c r="O69" i="60"/>
  <c r="P68" i="60"/>
  <c r="O68" i="60"/>
  <c r="Q68" i="60" s="1"/>
  <c r="S68" i="60" s="1"/>
  <c r="P67" i="60"/>
  <c r="O67" i="60"/>
  <c r="P66" i="60"/>
  <c r="O66" i="60"/>
  <c r="P65" i="60"/>
  <c r="O65" i="60"/>
  <c r="P64" i="60"/>
  <c r="O64" i="60"/>
  <c r="P63" i="60"/>
  <c r="O63" i="60"/>
  <c r="P62" i="60"/>
  <c r="O62" i="60"/>
  <c r="P61" i="60"/>
  <c r="O61" i="60"/>
  <c r="P60" i="60"/>
  <c r="O60" i="60"/>
  <c r="Q60" i="60" s="1"/>
  <c r="S60" i="60" s="1"/>
  <c r="P59" i="60"/>
  <c r="O59" i="60"/>
  <c r="P58" i="60"/>
  <c r="O58" i="60"/>
  <c r="Q58" i="60" s="1"/>
  <c r="S58" i="60" s="1"/>
  <c r="P57" i="60"/>
  <c r="Q57" i="60" s="1"/>
  <c r="S57" i="60" s="1"/>
  <c r="O57" i="60"/>
  <c r="P56" i="60"/>
  <c r="O56" i="60"/>
  <c r="P55" i="60"/>
  <c r="O55" i="60"/>
  <c r="P54" i="60"/>
  <c r="O54" i="60"/>
  <c r="P53" i="60"/>
  <c r="O53" i="60"/>
  <c r="P52" i="60"/>
  <c r="O52" i="60"/>
  <c r="P51" i="60"/>
  <c r="O51" i="60"/>
  <c r="P50" i="60"/>
  <c r="O50" i="60"/>
  <c r="P49" i="60"/>
  <c r="Q49" i="60" s="1"/>
  <c r="S49" i="60" s="1"/>
  <c r="O49" i="60"/>
  <c r="P48" i="60"/>
  <c r="O48" i="60"/>
  <c r="P47" i="60"/>
  <c r="O47" i="60"/>
  <c r="P46" i="60"/>
  <c r="O46" i="60"/>
  <c r="P45" i="60"/>
  <c r="O45" i="60"/>
  <c r="P44" i="60"/>
  <c r="O44" i="60"/>
  <c r="P43" i="60"/>
  <c r="O43" i="60"/>
  <c r="P42" i="60"/>
  <c r="O42" i="60"/>
  <c r="P41" i="60"/>
  <c r="O41" i="60"/>
  <c r="P40" i="60"/>
  <c r="O40" i="60"/>
  <c r="P39" i="60"/>
  <c r="O39" i="60"/>
  <c r="Q39" i="60" s="1"/>
  <c r="S39" i="60" s="1"/>
  <c r="P38" i="60"/>
  <c r="O38" i="60"/>
  <c r="P37" i="60"/>
  <c r="O37" i="60"/>
  <c r="P36" i="60"/>
  <c r="O36" i="60"/>
  <c r="P35" i="60"/>
  <c r="O35" i="60"/>
  <c r="P34" i="60"/>
  <c r="O34" i="60"/>
  <c r="P33" i="60"/>
  <c r="O33" i="60"/>
  <c r="P32" i="60"/>
  <c r="O32" i="60"/>
  <c r="P31" i="60"/>
  <c r="O31" i="60"/>
  <c r="P30" i="60"/>
  <c r="O30" i="60"/>
  <c r="P29" i="60"/>
  <c r="O29" i="60"/>
  <c r="A29" i="60"/>
  <c r="A30" i="60" s="1"/>
  <c r="A31" i="60" s="1"/>
  <c r="A32" i="60" s="1"/>
  <c r="A33" i="60" s="1"/>
  <c r="A34" i="60" s="1"/>
  <c r="A35" i="60" s="1"/>
  <c r="A36" i="60" s="1"/>
  <c r="A37" i="60" s="1"/>
  <c r="A38" i="60" s="1"/>
  <c r="A39" i="60" s="1"/>
  <c r="A40" i="60" s="1"/>
  <c r="A41" i="60" s="1"/>
  <c r="A42" i="60" s="1"/>
  <c r="A43" i="60" s="1"/>
  <c r="A44" i="60" s="1"/>
  <c r="A45" i="60" s="1"/>
  <c r="A46" i="60" s="1"/>
  <c r="A47" i="60" s="1"/>
  <c r="A48" i="60" s="1"/>
  <c r="A49" i="60" s="1"/>
  <c r="A50" i="60" s="1"/>
  <c r="A51" i="60" s="1"/>
  <c r="A52" i="60" s="1"/>
  <c r="A53" i="60" s="1"/>
  <c r="A54" i="60" s="1"/>
  <c r="A55" i="60" s="1"/>
  <c r="A56" i="60" s="1"/>
  <c r="A57" i="60" s="1"/>
  <c r="A58" i="60" s="1"/>
  <c r="A59" i="60" s="1"/>
  <c r="A60" i="60" s="1"/>
  <c r="A61" i="60" s="1"/>
  <c r="A62" i="60" s="1"/>
  <c r="A63" i="60" s="1"/>
  <c r="A64" i="60" s="1"/>
  <c r="A65" i="60" s="1"/>
  <c r="A66" i="60" s="1"/>
  <c r="A67" i="60" s="1"/>
  <c r="A68" i="60" s="1"/>
  <c r="A69" i="60" s="1"/>
  <c r="A70" i="60" s="1"/>
  <c r="A71" i="60" s="1"/>
  <c r="A72" i="60" s="1"/>
  <c r="A73" i="60" s="1"/>
  <c r="A74" i="60" s="1"/>
  <c r="A75" i="60" s="1"/>
  <c r="A76" i="60" s="1"/>
  <c r="A77" i="60" s="1"/>
  <c r="A78" i="60" s="1"/>
  <c r="A79" i="60" s="1"/>
  <c r="A80" i="60" s="1"/>
  <c r="A81" i="60" s="1"/>
  <c r="A82" i="60" s="1"/>
  <c r="P28" i="60"/>
  <c r="O28" i="60"/>
  <c r="P27" i="60"/>
  <c r="O27" i="60"/>
  <c r="P26" i="60"/>
  <c r="O26" i="60"/>
  <c r="P25" i="60"/>
  <c r="O25" i="60"/>
  <c r="P24" i="60"/>
  <c r="O24" i="60"/>
  <c r="P23" i="60"/>
  <c r="O23" i="60"/>
  <c r="P22" i="60"/>
  <c r="O22" i="60"/>
  <c r="P21" i="60"/>
  <c r="O21" i="60"/>
  <c r="P20" i="60"/>
  <c r="O20" i="60"/>
  <c r="P19" i="60"/>
  <c r="O19" i="60"/>
  <c r="P18" i="60"/>
  <c r="Q18" i="60" s="1"/>
  <c r="S18" i="60" s="1"/>
  <c r="O18" i="60"/>
  <c r="P17" i="60"/>
  <c r="O17" i="60"/>
  <c r="P16" i="60"/>
  <c r="O16" i="60"/>
  <c r="P15" i="60"/>
  <c r="O15" i="60"/>
  <c r="P14" i="60"/>
  <c r="O14" i="60"/>
  <c r="A14" i="60"/>
  <c r="A15" i="60" s="1"/>
  <c r="A16" i="60" s="1"/>
  <c r="A17" i="60" s="1"/>
  <c r="A18" i="60" s="1"/>
  <c r="A19" i="60" s="1"/>
  <c r="A20" i="60" s="1"/>
  <c r="A21" i="60" s="1"/>
  <c r="A22" i="60" s="1"/>
  <c r="A23" i="60" s="1"/>
  <c r="A24" i="60" s="1"/>
  <c r="A25" i="60" s="1"/>
  <c r="A26" i="60" s="1"/>
  <c r="A27" i="60" s="1"/>
  <c r="P13" i="60"/>
  <c r="O13" i="60"/>
  <c r="P12" i="60"/>
  <c r="O12" i="60"/>
  <c r="P11" i="60"/>
  <c r="O11" i="60"/>
  <c r="P10" i="60"/>
  <c r="O10" i="60"/>
  <c r="P9" i="60"/>
  <c r="O9" i="60"/>
  <c r="P8" i="60"/>
  <c r="O8" i="60"/>
  <c r="P7" i="60"/>
  <c r="O7" i="60"/>
  <c r="A7" i="60"/>
  <c r="A8" i="60" s="1"/>
  <c r="A9" i="60" s="1"/>
  <c r="A10" i="60" s="1"/>
  <c r="A11" i="60" s="1"/>
  <c r="A12" i="60" s="1"/>
  <c r="P6" i="60"/>
  <c r="O6" i="60"/>
  <c r="P5" i="60"/>
  <c r="O5" i="60"/>
  <c r="P4" i="60"/>
  <c r="O4" i="60"/>
  <c r="C4" i="60"/>
  <c r="F2" i="60"/>
  <c r="G2" i="60" s="1"/>
  <c r="H2" i="60" s="1"/>
  <c r="I2" i="60" s="1"/>
  <c r="J2" i="60" s="1"/>
  <c r="K2" i="60" s="1"/>
  <c r="L2" i="60" s="1"/>
  <c r="M2" i="60" s="1"/>
  <c r="N2" i="60" s="1"/>
  <c r="BT50" i="62" l="1"/>
  <c r="BT86" i="62" s="1"/>
  <c r="BU87" i="62" s="1"/>
  <c r="BR86" i="62"/>
  <c r="R85" i="61"/>
  <c r="T4" i="61"/>
  <c r="Q42" i="60"/>
  <c r="S42" i="60" s="1"/>
  <c r="Q79" i="60"/>
  <c r="S79" i="60" s="1"/>
  <c r="Q67" i="60"/>
  <c r="S67" i="60" s="1"/>
  <c r="Q52" i="60"/>
  <c r="S52" i="60" s="1"/>
  <c r="Q10" i="60"/>
  <c r="S10" i="60" s="1"/>
  <c r="Q61" i="60"/>
  <c r="S61" i="60" s="1"/>
  <c r="Q51" i="60"/>
  <c r="S51" i="60" s="1"/>
  <c r="Q59" i="60"/>
  <c r="S59" i="60" s="1"/>
  <c r="Q7" i="60"/>
  <c r="S7" i="60" s="1"/>
  <c r="Q82" i="60"/>
  <c r="S82" i="60" s="1"/>
  <c r="Q81" i="60"/>
  <c r="S81" i="60" s="1"/>
  <c r="Q77" i="60"/>
  <c r="S77" i="60" s="1"/>
  <c r="Q80" i="60"/>
  <c r="S80" i="60" s="1"/>
  <c r="Q78" i="60"/>
  <c r="S78" i="60" s="1"/>
  <c r="Q47" i="60"/>
  <c r="S47" i="60" s="1"/>
  <c r="Q44" i="60"/>
  <c r="S44" i="60" s="1"/>
  <c r="Q31" i="60"/>
  <c r="S31" i="60" s="1"/>
  <c r="Q30" i="60"/>
  <c r="S30" i="60" s="1"/>
  <c r="Q28" i="60"/>
  <c r="S28" i="60" s="1"/>
  <c r="Q26" i="60"/>
  <c r="S26" i="60" s="1"/>
  <c r="Q24" i="60"/>
  <c r="S24" i="60" s="1"/>
  <c r="Q23" i="60"/>
  <c r="S23" i="60" s="1"/>
  <c r="Q15" i="60"/>
  <c r="S15" i="60" s="1"/>
  <c r="Q14" i="60"/>
  <c r="S14" i="60" s="1"/>
  <c r="Q5" i="60"/>
  <c r="S5" i="60" s="1"/>
  <c r="Q32" i="60"/>
  <c r="S32" i="60" s="1"/>
  <c r="Q36" i="60"/>
  <c r="S36" i="60" s="1"/>
  <c r="Q65" i="60"/>
  <c r="S65" i="60" s="1"/>
  <c r="Q72" i="60"/>
  <c r="S72" i="60" s="1"/>
  <c r="Q6" i="60"/>
  <c r="S6" i="60" s="1"/>
  <c r="Q9" i="60"/>
  <c r="S9" i="60" s="1"/>
  <c r="Q13" i="60"/>
  <c r="S13" i="60" s="1"/>
  <c r="Q16" i="60"/>
  <c r="S16" i="60" s="1"/>
  <c r="Q40" i="60"/>
  <c r="S40" i="60" s="1"/>
  <c r="Q55" i="60"/>
  <c r="S55" i="60" s="1"/>
  <c r="Q66" i="60"/>
  <c r="S66" i="60" s="1"/>
  <c r="Q69" i="60"/>
  <c r="S69" i="60" s="1"/>
  <c r="Q17" i="60"/>
  <c r="S17" i="60" s="1"/>
  <c r="Q41" i="60"/>
  <c r="S41" i="60" s="1"/>
  <c r="Q45" i="60"/>
  <c r="S45" i="60" s="1"/>
  <c r="Q63" i="60"/>
  <c r="S63" i="60" s="1"/>
  <c r="Q4" i="60"/>
  <c r="S4" i="60" s="1"/>
  <c r="S85" i="60" s="1"/>
  <c r="Q35" i="60"/>
  <c r="S35" i="60" s="1"/>
  <c r="Q50" i="60"/>
  <c r="S50" i="60" s="1"/>
  <c r="Q53" i="60"/>
  <c r="S53" i="60" s="1"/>
  <c r="Q75" i="60"/>
  <c r="S75" i="60" s="1"/>
  <c r="Q8" i="60"/>
  <c r="S8" i="60" s="1"/>
  <c r="Q11" i="60"/>
  <c r="S11" i="60" s="1"/>
  <c r="Q21" i="60"/>
  <c r="S21" i="60" s="1"/>
  <c r="Q27" i="60"/>
  <c r="S27" i="60" s="1"/>
  <c r="Q33" i="60"/>
  <c r="S33" i="60" s="1"/>
  <c r="Q37" i="60"/>
  <c r="S37" i="60" s="1"/>
  <c r="Q56" i="60"/>
  <c r="S56" i="60" s="1"/>
  <c r="Q73" i="60"/>
  <c r="S73" i="60" s="1"/>
  <c r="Q20" i="60"/>
  <c r="S20" i="60" s="1"/>
  <c r="Q25" i="60"/>
  <c r="S25" i="60" s="1"/>
  <c r="Q34" i="60"/>
  <c r="S34" i="60" s="1"/>
  <c r="Q54" i="60"/>
  <c r="S54" i="60" s="1"/>
  <c r="Q70" i="60"/>
  <c r="S70" i="60" s="1"/>
  <c r="Q74" i="60"/>
  <c r="S74" i="60" s="1"/>
  <c r="Q76" i="60"/>
  <c r="S76" i="60" s="1"/>
  <c r="Q12" i="60"/>
  <c r="S12" i="60" s="1"/>
  <c r="Q22" i="60"/>
  <c r="S22" i="60" s="1"/>
  <c r="Q38" i="60"/>
  <c r="S38" i="60" s="1"/>
  <c r="Q48" i="60"/>
  <c r="S48" i="60" s="1"/>
  <c r="Q64" i="60"/>
  <c r="S64" i="60" s="1"/>
  <c r="Q71" i="60"/>
  <c r="S71" i="60" s="1"/>
  <c r="Q19" i="60"/>
  <c r="S19" i="60" s="1"/>
  <c r="Q29" i="60"/>
  <c r="S29" i="60" s="1"/>
  <c r="Q46" i="60"/>
  <c r="S46" i="60" s="1"/>
  <c r="Q62" i="60"/>
  <c r="S62" i="60" s="1"/>
  <c r="Q43" i="60"/>
  <c r="S43" i="60" s="1"/>
  <c r="O85" i="60"/>
  <c r="P85" i="60"/>
  <c r="T81" i="59"/>
  <c r="P77" i="59"/>
  <c r="O77" i="59"/>
  <c r="R81" i="59"/>
  <c r="J81" i="59"/>
  <c r="K81" i="59"/>
  <c r="L81" i="59"/>
  <c r="M81" i="59"/>
  <c r="N81" i="59"/>
  <c r="O76" i="59"/>
  <c r="P76" i="59"/>
  <c r="O28" i="59"/>
  <c r="P28" i="59"/>
  <c r="I81" i="59"/>
  <c r="H81" i="59"/>
  <c r="G81" i="59"/>
  <c r="F81" i="59"/>
  <c r="E81" i="59"/>
  <c r="P75" i="59"/>
  <c r="O75" i="59"/>
  <c r="P74" i="59"/>
  <c r="O74" i="59"/>
  <c r="P73" i="59"/>
  <c r="O73" i="59"/>
  <c r="P72" i="59"/>
  <c r="O72" i="59"/>
  <c r="P71" i="59"/>
  <c r="O71" i="59"/>
  <c r="P70" i="59"/>
  <c r="O70" i="59"/>
  <c r="P69" i="59"/>
  <c r="O69" i="59"/>
  <c r="P68" i="59"/>
  <c r="O68" i="59"/>
  <c r="P67" i="59"/>
  <c r="O67" i="59"/>
  <c r="P66" i="59"/>
  <c r="O66" i="59"/>
  <c r="P65" i="59"/>
  <c r="O65" i="59"/>
  <c r="P64" i="59"/>
  <c r="O64" i="59"/>
  <c r="P63" i="59"/>
  <c r="O63" i="59"/>
  <c r="P62" i="59"/>
  <c r="O62" i="59"/>
  <c r="P61" i="59"/>
  <c r="O61" i="59"/>
  <c r="P60" i="59"/>
  <c r="O60" i="59"/>
  <c r="P59" i="59"/>
  <c r="O59" i="59"/>
  <c r="P58" i="59"/>
  <c r="O58" i="59"/>
  <c r="P57" i="59"/>
  <c r="O57" i="59"/>
  <c r="P56" i="59"/>
  <c r="O56" i="59"/>
  <c r="P55" i="59"/>
  <c r="O55" i="59"/>
  <c r="P54" i="59"/>
  <c r="O54" i="59"/>
  <c r="P53" i="59"/>
  <c r="O53" i="59"/>
  <c r="P52" i="59"/>
  <c r="O52" i="59"/>
  <c r="P51" i="59"/>
  <c r="O51" i="59"/>
  <c r="P50" i="59"/>
  <c r="O50" i="59"/>
  <c r="P49" i="59"/>
  <c r="O49" i="59"/>
  <c r="P48" i="59"/>
  <c r="O48" i="59"/>
  <c r="P47" i="59"/>
  <c r="O47" i="59"/>
  <c r="P46" i="59"/>
  <c r="O46" i="59"/>
  <c r="P45" i="59"/>
  <c r="O45" i="59"/>
  <c r="P44" i="59"/>
  <c r="O44" i="59"/>
  <c r="P43" i="59"/>
  <c r="O43" i="59"/>
  <c r="P42" i="59"/>
  <c r="O42" i="59"/>
  <c r="P41" i="59"/>
  <c r="O41" i="59"/>
  <c r="P40" i="59"/>
  <c r="O40" i="59"/>
  <c r="P39" i="59"/>
  <c r="O39" i="59"/>
  <c r="P38" i="59"/>
  <c r="O38" i="59"/>
  <c r="P37" i="59"/>
  <c r="O37" i="59"/>
  <c r="P36" i="59"/>
  <c r="O36" i="59"/>
  <c r="P35" i="59"/>
  <c r="O35" i="59"/>
  <c r="P34" i="59"/>
  <c r="O34" i="59"/>
  <c r="P33" i="59"/>
  <c r="O33" i="59"/>
  <c r="P32" i="59"/>
  <c r="O32" i="59"/>
  <c r="P31" i="59"/>
  <c r="O31" i="59"/>
  <c r="P30" i="59"/>
  <c r="O30" i="59"/>
  <c r="P29" i="59"/>
  <c r="O29" i="59"/>
  <c r="A29" i="59"/>
  <c r="A30" i="59" s="1"/>
  <c r="A31" i="59" s="1"/>
  <c r="A32" i="59" s="1"/>
  <c r="A33" i="59" s="1"/>
  <c r="A34" i="59" s="1"/>
  <c r="A35" i="59" s="1"/>
  <c r="A36" i="59" s="1"/>
  <c r="A37" i="59" s="1"/>
  <c r="A38" i="59" s="1"/>
  <c r="A39" i="59" s="1"/>
  <c r="A40" i="59" s="1"/>
  <c r="A41" i="59" s="1"/>
  <c r="A42" i="59" s="1"/>
  <c r="A43" i="59" s="1"/>
  <c r="A44" i="59" s="1"/>
  <c r="A45" i="59" s="1"/>
  <c r="A46" i="59" s="1"/>
  <c r="A47" i="59" s="1"/>
  <c r="A48" i="59" s="1"/>
  <c r="A49" i="59" s="1"/>
  <c r="A50" i="59" s="1"/>
  <c r="A51" i="59" s="1"/>
  <c r="A52" i="59" s="1"/>
  <c r="A53" i="59" s="1"/>
  <c r="A54" i="59" s="1"/>
  <c r="A55" i="59" s="1"/>
  <c r="A56" i="59" s="1"/>
  <c r="A57" i="59" s="1"/>
  <c r="A58" i="59" s="1"/>
  <c r="A59" i="59" s="1"/>
  <c r="A60" i="59" s="1"/>
  <c r="A61" i="59" s="1"/>
  <c r="A62" i="59" s="1"/>
  <c r="A63" i="59" s="1"/>
  <c r="A64" i="59" s="1"/>
  <c r="A65" i="59" s="1"/>
  <c r="A66" i="59" s="1"/>
  <c r="A67" i="59" s="1"/>
  <c r="A68" i="59" s="1"/>
  <c r="A69" i="59" s="1"/>
  <c r="A70" i="59" s="1"/>
  <c r="A71" i="59" s="1"/>
  <c r="A72" i="59" s="1"/>
  <c r="A73" i="59" s="1"/>
  <c r="A74" i="59" s="1"/>
  <c r="A75" i="59" s="1"/>
  <c r="A76" i="59" s="1"/>
  <c r="A77" i="59" s="1"/>
  <c r="P27" i="59"/>
  <c r="O27" i="59"/>
  <c r="P26" i="59"/>
  <c r="O26" i="59"/>
  <c r="P25" i="59"/>
  <c r="O25" i="59"/>
  <c r="P24" i="59"/>
  <c r="O24" i="59"/>
  <c r="P23" i="59"/>
  <c r="O23" i="59"/>
  <c r="P22" i="59"/>
  <c r="O22" i="59"/>
  <c r="P21" i="59"/>
  <c r="O21" i="59"/>
  <c r="P20" i="59"/>
  <c r="O20" i="59"/>
  <c r="P19" i="59"/>
  <c r="O19" i="59"/>
  <c r="P18" i="59"/>
  <c r="O18" i="59"/>
  <c r="P17" i="59"/>
  <c r="O17" i="59"/>
  <c r="P16" i="59"/>
  <c r="O16" i="59"/>
  <c r="P15" i="59"/>
  <c r="O15" i="59"/>
  <c r="P14" i="59"/>
  <c r="O14" i="59"/>
  <c r="A14" i="59"/>
  <c r="A15" i="59" s="1"/>
  <c r="A16" i="59" s="1"/>
  <c r="A17" i="59" s="1"/>
  <c r="A18" i="59" s="1"/>
  <c r="A19" i="59" s="1"/>
  <c r="A20" i="59" s="1"/>
  <c r="A21" i="59" s="1"/>
  <c r="A22" i="59" s="1"/>
  <c r="A23" i="59" s="1"/>
  <c r="A24" i="59" s="1"/>
  <c r="A25" i="59" s="1"/>
  <c r="A26" i="59" s="1"/>
  <c r="A27" i="59" s="1"/>
  <c r="P13" i="59"/>
  <c r="O13" i="59"/>
  <c r="P12" i="59"/>
  <c r="O12" i="59"/>
  <c r="P11" i="59"/>
  <c r="O11" i="59"/>
  <c r="P10" i="59"/>
  <c r="O10" i="59"/>
  <c r="P9" i="59"/>
  <c r="O9" i="59"/>
  <c r="P8" i="59"/>
  <c r="O8" i="59"/>
  <c r="P7" i="59"/>
  <c r="O7" i="59"/>
  <c r="A7" i="59"/>
  <c r="A8" i="59" s="1"/>
  <c r="A9" i="59" s="1"/>
  <c r="A10" i="59" s="1"/>
  <c r="A11" i="59" s="1"/>
  <c r="A12" i="59" s="1"/>
  <c r="P6" i="59"/>
  <c r="O6" i="59"/>
  <c r="P5" i="59"/>
  <c r="O5" i="59"/>
  <c r="P4" i="59"/>
  <c r="O4" i="59"/>
  <c r="C4" i="59"/>
  <c r="F2" i="59"/>
  <c r="G2" i="59" s="1"/>
  <c r="H2" i="59" s="1"/>
  <c r="I2" i="59" s="1"/>
  <c r="J2" i="59" s="1"/>
  <c r="K2" i="59" s="1"/>
  <c r="L2" i="59" s="1"/>
  <c r="M2" i="59" s="1"/>
  <c r="N2" i="59" s="1"/>
  <c r="T85" i="61" l="1"/>
  <c r="V86" i="61" s="1"/>
  <c r="T86" i="60"/>
  <c r="Q85" i="60"/>
  <c r="Q36" i="59"/>
  <c r="S36" i="59" s="1"/>
  <c r="Q18" i="59"/>
  <c r="S18" i="59" s="1"/>
  <c r="Q35" i="59"/>
  <c r="S35" i="59" s="1"/>
  <c r="Q61" i="59"/>
  <c r="S61" i="59" s="1"/>
  <c r="Q65" i="59"/>
  <c r="S65" i="59" s="1"/>
  <c r="Q40" i="59"/>
  <c r="S40" i="59" s="1"/>
  <c r="Q32" i="59"/>
  <c r="S32" i="59" s="1"/>
  <c r="Q77" i="59"/>
  <c r="S77" i="59" s="1"/>
  <c r="Q68" i="59"/>
  <c r="S68" i="59" s="1"/>
  <c r="Q76" i="59"/>
  <c r="S76" i="59" s="1"/>
  <c r="Q38" i="59"/>
  <c r="S38" i="59" s="1"/>
  <c r="Q31" i="59"/>
  <c r="S31" i="59" s="1"/>
  <c r="Q30" i="59"/>
  <c r="S30" i="59" s="1"/>
  <c r="Q26" i="59"/>
  <c r="S26" i="59" s="1"/>
  <c r="Q11" i="59"/>
  <c r="S11" i="59" s="1"/>
  <c r="Q46" i="59"/>
  <c r="S46" i="59" s="1"/>
  <c r="Q62" i="59"/>
  <c r="S62" i="59" s="1"/>
  <c r="Q7" i="59"/>
  <c r="S7" i="59" s="1"/>
  <c r="Q19" i="59"/>
  <c r="S19" i="59" s="1"/>
  <c r="Q27" i="59"/>
  <c r="S27" i="59" s="1"/>
  <c r="Q67" i="59"/>
  <c r="S67" i="59" s="1"/>
  <c r="Q71" i="59"/>
  <c r="S71" i="59" s="1"/>
  <c r="Q44" i="59"/>
  <c r="S44" i="59" s="1"/>
  <c r="Q48" i="59"/>
  <c r="S48" i="59" s="1"/>
  <c r="Q56" i="59"/>
  <c r="S56" i="59" s="1"/>
  <c r="Q60" i="59"/>
  <c r="S60" i="59" s="1"/>
  <c r="Q9" i="59"/>
  <c r="S9" i="59" s="1"/>
  <c r="Q17" i="59"/>
  <c r="S17" i="59" s="1"/>
  <c r="Q6" i="59"/>
  <c r="S6" i="59" s="1"/>
  <c r="Q12" i="59"/>
  <c r="S12" i="59" s="1"/>
  <c r="Q22" i="59"/>
  <c r="S22" i="59" s="1"/>
  <c r="Q34" i="59"/>
  <c r="S34" i="59" s="1"/>
  <c r="Q52" i="59"/>
  <c r="S52" i="59" s="1"/>
  <c r="Q64" i="59"/>
  <c r="S64" i="59" s="1"/>
  <c r="Q72" i="59"/>
  <c r="S72" i="59" s="1"/>
  <c r="Q33" i="59"/>
  <c r="S33" i="59" s="1"/>
  <c r="Q13" i="59"/>
  <c r="S13" i="59" s="1"/>
  <c r="Q42" i="59"/>
  <c r="S42" i="59" s="1"/>
  <c r="Q49" i="59"/>
  <c r="S49" i="59" s="1"/>
  <c r="Q53" i="59"/>
  <c r="S53" i="59" s="1"/>
  <c r="Q54" i="59"/>
  <c r="S54" i="59" s="1"/>
  <c r="Q43" i="59"/>
  <c r="S43" i="59" s="1"/>
  <c r="Q70" i="59"/>
  <c r="S70" i="59" s="1"/>
  <c r="Q21" i="59"/>
  <c r="S21" i="59" s="1"/>
  <c r="Q25" i="59"/>
  <c r="S25" i="59" s="1"/>
  <c r="Q51" i="59"/>
  <c r="S51" i="59" s="1"/>
  <c r="Q55" i="59"/>
  <c r="S55" i="59" s="1"/>
  <c r="Q28" i="59"/>
  <c r="S28" i="59" s="1"/>
  <c r="Q5" i="59"/>
  <c r="S5" i="59" s="1"/>
  <c r="Q4" i="59"/>
  <c r="S4" i="59" s="1"/>
  <c r="O81" i="59"/>
  <c r="Q10" i="59"/>
  <c r="S10" i="59" s="1"/>
  <c r="Q20" i="59"/>
  <c r="S20" i="59" s="1"/>
  <c r="Q24" i="59"/>
  <c r="S24" i="59" s="1"/>
  <c r="Q50" i="59"/>
  <c r="S50" i="59" s="1"/>
  <c r="Q66" i="59"/>
  <c r="S66" i="59" s="1"/>
  <c r="P81" i="59"/>
  <c r="Q37" i="59"/>
  <c r="S37" i="59" s="1"/>
  <c r="Q47" i="59"/>
  <c r="S47" i="59" s="1"/>
  <c r="Q63" i="59"/>
  <c r="S63" i="59" s="1"/>
  <c r="Q69" i="59"/>
  <c r="S69" i="59" s="1"/>
  <c r="Q57" i="59"/>
  <c r="S57" i="59" s="1"/>
  <c r="Q73" i="59"/>
  <c r="S73" i="59" s="1"/>
  <c r="Q14" i="59"/>
  <c r="S14" i="59" s="1"/>
  <c r="Q8" i="59"/>
  <c r="S8" i="59" s="1"/>
  <c r="Q15" i="59"/>
  <c r="S15" i="59" s="1"/>
  <c r="Q41" i="59"/>
  <c r="S41" i="59" s="1"/>
  <c r="Q45" i="59"/>
  <c r="S45" i="59" s="1"/>
  <c r="Q58" i="59"/>
  <c r="S58" i="59" s="1"/>
  <c r="Q74" i="59"/>
  <c r="S74" i="59" s="1"/>
  <c r="Q16" i="59"/>
  <c r="S16" i="59" s="1"/>
  <c r="Q23" i="59"/>
  <c r="S23" i="59" s="1"/>
  <c r="Q29" i="59"/>
  <c r="S29" i="59" s="1"/>
  <c r="Q39" i="59"/>
  <c r="S39" i="59" s="1"/>
  <c r="Q59" i="59"/>
  <c r="S59" i="59" s="1"/>
  <c r="Q75" i="59"/>
  <c r="S75" i="59" s="1"/>
  <c r="T78" i="58"/>
  <c r="R78" i="58"/>
  <c r="J78" i="58"/>
  <c r="I78" i="58"/>
  <c r="H78" i="58"/>
  <c r="G78" i="58"/>
  <c r="F78" i="58"/>
  <c r="E78" i="58"/>
  <c r="P75" i="58"/>
  <c r="O75" i="58"/>
  <c r="P74" i="58"/>
  <c r="O74" i="58"/>
  <c r="P73" i="58"/>
  <c r="O73" i="58"/>
  <c r="P72" i="58"/>
  <c r="O72" i="58"/>
  <c r="P71" i="58"/>
  <c r="O71" i="58"/>
  <c r="P70" i="58"/>
  <c r="O70" i="58"/>
  <c r="P69" i="58"/>
  <c r="O69" i="58"/>
  <c r="P68" i="58"/>
  <c r="O68" i="58"/>
  <c r="P67" i="58"/>
  <c r="O67" i="58"/>
  <c r="P66" i="58"/>
  <c r="O66" i="58"/>
  <c r="P65" i="58"/>
  <c r="O65" i="58"/>
  <c r="P64" i="58"/>
  <c r="O64" i="58"/>
  <c r="P63" i="58"/>
  <c r="O63" i="58"/>
  <c r="P62" i="58"/>
  <c r="O62" i="58"/>
  <c r="P61" i="58"/>
  <c r="O61" i="58"/>
  <c r="P60" i="58"/>
  <c r="O60" i="58"/>
  <c r="P59" i="58"/>
  <c r="O59" i="58"/>
  <c r="P58" i="58"/>
  <c r="O58" i="58"/>
  <c r="P57" i="58"/>
  <c r="O57" i="58"/>
  <c r="P56" i="58"/>
  <c r="O56" i="58"/>
  <c r="P55" i="58"/>
  <c r="O55" i="58"/>
  <c r="P54" i="58"/>
  <c r="O54" i="58"/>
  <c r="P53" i="58"/>
  <c r="O53" i="58"/>
  <c r="P52" i="58"/>
  <c r="O52" i="58"/>
  <c r="P51" i="58"/>
  <c r="O51" i="58"/>
  <c r="P50" i="58"/>
  <c r="O50" i="58"/>
  <c r="P49" i="58"/>
  <c r="O49" i="58"/>
  <c r="P48" i="58"/>
  <c r="O48" i="58"/>
  <c r="P47" i="58"/>
  <c r="O47" i="58"/>
  <c r="P46" i="58"/>
  <c r="O46" i="58"/>
  <c r="P45" i="58"/>
  <c r="O45" i="58"/>
  <c r="P44" i="58"/>
  <c r="O44" i="58"/>
  <c r="P43" i="58"/>
  <c r="O43" i="58"/>
  <c r="P42" i="58"/>
  <c r="O42" i="58"/>
  <c r="P41" i="58"/>
  <c r="O41" i="58"/>
  <c r="P40" i="58"/>
  <c r="O40" i="58"/>
  <c r="P39" i="58"/>
  <c r="O39" i="58"/>
  <c r="P38" i="58"/>
  <c r="O38" i="58"/>
  <c r="P37" i="58"/>
  <c r="O37" i="58"/>
  <c r="P36" i="58"/>
  <c r="O36" i="58"/>
  <c r="P35" i="58"/>
  <c r="O35" i="58"/>
  <c r="P34" i="58"/>
  <c r="O34" i="58"/>
  <c r="P33" i="58"/>
  <c r="O33" i="58"/>
  <c r="P32" i="58"/>
  <c r="O32" i="58"/>
  <c r="P31" i="58"/>
  <c r="O31" i="58"/>
  <c r="P30" i="58"/>
  <c r="O30" i="58"/>
  <c r="P29" i="58"/>
  <c r="O29" i="58"/>
  <c r="A29" i="58"/>
  <c r="A30" i="58" s="1"/>
  <c r="A31" i="58" s="1"/>
  <c r="A32" i="58" s="1"/>
  <c r="A33" i="58" s="1"/>
  <c r="A34" i="58" s="1"/>
  <c r="A35" i="58" s="1"/>
  <c r="A36" i="58" s="1"/>
  <c r="A37" i="58" s="1"/>
  <c r="A38" i="58" s="1"/>
  <c r="A39" i="58" s="1"/>
  <c r="A40" i="58" s="1"/>
  <c r="A41" i="58" s="1"/>
  <c r="A42" i="58" s="1"/>
  <c r="A43" i="58" s="1"/>
  <c r="A44" i="58" s="1"/>
  <c r="A45" i="58" s="1"/>
  <c r="A46" i="58" s="1"/>
  <c r="A47" i="58" s="1"/>
  <c r="A48" i="58" s="1"/>
  <c r="A49" i="58" s="1"/>
  <c r="A50" i="58" s="1"/>
  <c r="A51" i="58" s="1"/>
  <c r="A52" i="58" s="1"/>
  <c r="A53" i="58" s="1"/>
  <c r="A54" i="58" s="1"/>
  <c r="A55" i="58" s="1"/>
  <c r="A56" i="58" s="1"/>
  <c r="A57" i="58" s="1"/>
  <c r="A58" i="58" s="1"/>
  <c r="A59" i="58" s="1"/>
  <c r="A60" i="58" s="1"/>
  <c r="A61" i="58" s="1"/>
  <c r="A62" i="58" s="1"/>
  <c r="A63" i="58" s="1"/>
  <c r="A64" i="58" s="1"/>
  <c r="A65" i="58" s="1"/>
  <c r="A66" i="58" s="1"/>
  <c r="A67" i="58" s="1"/>
  <c r="A68" i="58" s="1"/>
  <c r="A69" i="58" s="1"/>
  <c r="A70" i="58" s="1"/>
  <c r="A71" i="58" s="1"/>
  <c r="A72" i="58" s="1"/>
  <c r="A73" i="58" s="1"/>
  <c r="A74" i="58" s="1"/>
  <c r="A75" i="58" s="1"/>
  <c r="P28" i="58"/>
  <c r="O28" i="58"/>
  <c r="P27" i="58"/>
  <c r="O27" i="58"/>
  <c r="P26" i="58"/>
  <c r="O26" i="58"/>
  <c r="P25" i="58"/>
  <c r="O25" i="58"/>
  <c r="P24" i="58"/>
  <c r="O24" i="58"/>
  <c r="P23" i="58"/>
  <c r="O23" i="58"/>
  <c r="P22" i="58"/>
  <c r="O22" i="58"/>
  <c r="P21" i="58"/>
  <c r="O21" i="58"/>
  <c r="P20" i="58"/>
  <c r="O20" i="58"/>
  <c r="P19" i="58"/>
  <c r="O19" i="58"/>
  <c r="P18" i="58"/>
  <c r="O18" i="58"/>
  <c r="P17" i="58"/>
  <c r="O17" i="58"/>
  <c r="P16" i="58"/>
  <c r="O16" i="58"/>
  <c r="P15" i="58"/>
  <c r="O15" i="58"/>
  <c r="P14" i="58"/>
  <c r="O14" i="58"/>
  <c r="A14" i="58"/>
  <c r="A15" i="58" s="1"/>
  <c r="A16" i="58" s="1"/>
  <c r="A17" i="58" s="1"/>
  <c r="A18" i="58" s="1"/>
  <c r="A19" i="58" s="1"/>
  <c r="A20" i="58" s="1"/>
  <c r="A21" i="58" s="1"/>
  <c r="A22" i="58" s="1"/>
  <c r="A23" i="58" s="1"/>
  <c r="A24" i="58" s="1"/>
  <c r="A25" i="58" s="1"/>
  <c r="A26" i="58" s="1"/>
  <c r="A27" i="58" s="1"/>
  <c r="P13" i="58"/>
  <c r="O13" i="58"/>
  <c r="P12" i="58"/>
  <c r="O12" i="58"/>
  <c r="P11" i="58"/>
  <c r="O11" i="58"/>
  <c r="P10" i="58"/>
  <c r="O10" i="58"/>
  <c r="P9" i="58"/>
  <c r="O9" i="58"/>
  <c r="P8" i="58"/>
  <c r="O8" i="58"/>
  <c r="P7" i="58"/>
  <c r="Q7" i="58" s="1"/>
  <c r="S7" i="58" s="1"/>
  <c r="O7" i="58"/>
  <c r="A7" i="58"/>
  <c r="A8" i="58" s="1"/>
  <c r="A9" i="58" s="1"/>
  <c r="A10" i="58" s="1"/>
  <c r="A11" i="58" s="1"/>
  <c r="A12" i="58" s="1"/>
  <c r="P6" i="58"/>
  <c r="O6" i="58"/>
  <c r="P5" i="58"/>
  <c r="O5" i="58"/>
  <c r="P4" i="58"/>
  <c r="O4" i="58"/>
  <c r="C4" i="58"/>
  <c r="F2" i="58"/>
  <c r="G2" i="58" s="1"/>
  <c r="H2" i="58" s="1"/>
  <c r="I2" i="58" s="1"/>
  <c r="J2" i="58" s="1"/>
  <c r="K2" i="58" s="1"/>
  <c r="L2" i="58" s="1"/>
  <c r="M2" i="58" s="1"/>
  <c r="N2" i="58" s="1"/>
  <c r="T78" i="57"/>
  <c r="R78" i="57"/>
  <c r="J78" i="57"/>
  <c r="I78" i="57"/>
  <c r="H78" i="57"/>
  <c r="G78" i="57"/>
  <c r="F78" i="57"/>
  <c r="E78" i="57"/>
  <c r="P75" i="57"/>
  <c r="O75" i="57"/>
  <c r="P74" i="57"/>
  <c r="O74" i="57"/>
  <c r="P73" i="57"/>
  <c r="O73" i="57"/>
  <c r="P72" i="57"/>
  <c r="O72" i="57"/>
  <c r="P71" i="57"/>
  <c r="O71" i="57"/>
  <c r="P70" i="57"/>
  <c r="O70" i="57"/>
  <c r="P69" i="57"/>
  <c r="O69" i="57"/>
  <c r="P68" i="57"/>
  <c r="O68" i="57"/>
  <c r="P67" i="57"/>
  <c r="O67" i="57"/>
  <c r="P66" i="57"/>
  <c r="O66" i="57"/>
  <c r="P65" i="57"/>
  <c r="Q65" i="57" s="1"/>
  <c r="S65" i="57" s="1"/>
  <c r="O65" i="57"/>
  <c r="P64" i="57"/>
  <c r="Q64" i="57" s="1"/>
  <c r="S64" i="57" s="1"/>
  <c r="O64" i="57"/>
  <c r="P63" i="57"/>
  <c r="O63" i="57"/>
  <c r="P62" i="57"/>
  <c r="O62" i="57"/>
  <c r="P61" i="57"/>
  <c r="O61" i="57"/>
  <c r="P60" i="57"/>
  <c r="O60" i="57"/>
  <c r="P59" i="57"/>
  <c r="O59" i="57"/>
  <c r="P58" i="57"/>
  <c r="O58" i="57"/>
  <c r="P57" i="57"/>
  <c r="O57" i="57"/>
  <c r="P56" i="57"/>
  <c r="O56" i="57"/>
  <c r="P55" i="57"/>
  <c r="O55" i="57"/>
  <c r="P54" i="57"/>
  <c r="O54" i="57"/>
  <c r="P53" i="57"/>
  <c r="O53" i="57"/>
  <c r="P52" i="57"/>
  <c r="O52" i="57"/>
  <c r="Q52" i="57" s="1"/>
  <c r="S52" i="57" s="1"/>
  <c r="P51" i="57"/>
  <c r="O51" i="57"/>
  <c r="P50" i="57"/>
  <c r="O50" i="57"/>
  <c r="P49" i="57"/>
  <c r="O49" i="57"/>
  <c r="P48" i="57"/>
  <c r="O48" i="57"/>
  <c r="P47" i="57"/>
  <c r="O47" i="57"/>
  <c r="P46" i="57"/>
  <c r="O46" i="57"/>
  <c r="P45" i="57"/>
  <c r="O45" i="57"/>
  <c r="P44" i="57"/>
  <c r="O44" i="57"/>
  <c r="P43" i="57"/>
  <c r="O43" i="57"/>
  <c r="P42" i="57"/>
  <c r="O42" i="57"/>
  <c r="P41" i="57"/>
  <c r="Q41" i="57" s="1"/>
  <c r="S41" i="57" s="1"/>
  <c r="O41" i="57"/>
  <c r="P40" i="57"/>
  <c r="O40" i="57"/>
  <c r="P39" i="57"/>
  <c r="O39" i="57"/>
  <c r="P38" i="57"/>
  <c r="O38" i="57"/>
  <c r="P37" i="57"/>
  <c r="O37" i="57"/>
  <c r="P36" i="57"/>
  <c r="O36" i="57"/>
  <c r="P35" i="57"/>
  <c r="O35" i="57"/>
  <c r="P34" i="57"/>
  <c r="O34" i="57"/>
  <c r="P33" i="57"/>
  <c r="O33" i="57"/>
  <c r="P32" i="57"/>
  <c r="O32" i="57"/>
  <c r="P31" i="57"/>
  <c r="O31" i="57"/>
  <c r="P30" i="57"/>
  <c r="O30" i="57"/>
  <c r="P29" i="57"/>
  <c r="O29" i="57"/>
  <c r="A29" i="57"/>
  <c r="A30" i="57" s="1"/>
  <c r="A31" i="57" s="1"/>
  <c r="A32" i="57" s="1"/>
  <c r="A33" i="57" s="1"/>
  <c r="A34" i="57" s="1"/>
  <c r="A35" i="57" s="1"/>
  <c r="A36" i="57" s="1"/>
  <c r="A37" i="57" s="1"/>
  <c r="A38" i="57" s="1"/>
  <c r="A39" i="57" s="1"/>
  <c r="A40" i="57" s="1"/>
  <c r="A41" i="57" s="1"/>
  <c r="A42" i="57" s="1"/>
  <c r="A43" i="57" s="1"/>
  <c r="A44" i="57" s="1"/>
  <c r="A45" i="57" s="1"/>
  <c r="A46" i="57" s="1"/>
  <c r="A47" i="57" s="1"/>
  <c r="A48" i="57" s="1"/>
  <c r="A49" i="57" s="1"/>
  <c r="A50" i="57" s="1"/>
  <c r="A51" i="57" s="1"/>
  <c r="A52" i="57" s="1"/>
  <c r="A53" i="57" s="1"/>
  <c r="A54" i="57" s="1"/>
  <c r="A55" i="57" s="1"/>
  <c r="A56" i="57" s="1"/>
  <c r="A57" i="57" s="1"/>
  <c r="A58" i="57" s="1"/>
  <c r="A59" i="57" s="1"/>
  <c r="A60" i="57" s="1"/>
  <c r="A61" i="57" s="1"/>
  <c r="A62" i="57" s="1"/>
  <c r="A63" i="57" s="1"/>
  <c r="A64" i="57" s="1"/>
  <c r="A65" i="57" s="1"/>
  <c r="A66" i="57" s="1"/>
  <c r="A67" i="57" s="1"/>
  <c r="A68" i="57" s="1"/>
  <c r="A69" i="57" s="1"/>
  <c r="A70" i="57" s="1"/>
  <c r="A71" i="57" s="1"/>
  <c r="A72" i="57" s="1"/>
  <c r="A73" i="57" s="1"/>
  <c r="A74" i="57" s="1"/>
  <c r="A75" i="57" s="1"/>
  <c r="P28" i="57"/>
  <c r="O28" i="57"/>
  <c r="P27" i="57"/>
  <c r="O27" i="57"/>
  <c r="P26" i="57"/>
  <c r="O26" i="57"/>
  <c r="P25" i="57"/>
  <c r="O25" i="57"/>
  <c r="Q25" i="57" s="1"/>
  <c r="S25" i="57" s="1"/>
  <c r="P24" i="57"/>
  <c r="O24" i="57"/>
  <c r="P23" i="57"/>
  <c r="O23" i="57"/>
  <c r="P22" i="57"/>
  <c r="O22" i="57"/>
  <c r="P21" i="57"/>
  <c r="O21" i="57"/>
  <c r="P20" i="57"/>
  <c r="O20" i="57"/>
  <c r="P19" i="57"/>
  <c r="O19" i="57"/>
  <c r="P18" i="57"/>
  <c r="O18" i="57"/>
  <c r="P17" i="57"/>
  <c r="O17" i="57"/>
  <c r="P16" i="57"/>
  <c r="O16" i="57"/>
  <c r="P15" i="57"/>
  <c r="O15" i="57"/>
  <c r="P14" i="57"/>
  <c r="O14" i="57"/>
  <c r="A14" i="57"/>
  <c r="A15" i="57" s="1"/>
  <c r="A16" i="57" s="1"/>
  <c r="A17" i="57" s="1"/>
  <c r="A18" i="57" s="1"/>
  <c r="A19" i="57" s="1"/>
  <c r="A20" i="57" s="1"/>
  <c r="A21" i="57" s="1"/>
  <c r="A22" i="57" s="1"/>
  <c r="A23" i="57" s="1"/>
  <c r="A24" i="57" s="1"/>
  <c r="A25" i="57" s="1"/>
  <c r="A26" i="57" s="1"/>
  <c r="A27" i="57" s="1"/>
  <c r="P13" i="57"/>
  <c r="O13" i="57"/>
  <c r="P12" i="57"/>
  <c r="O12" i="57"/>
  <c r="P11" i="57"/>
  <c r="O11" i="57"/>
  <c r="P10" i="57"/>
  <c r="O10" i="57"/>
  <c r="P9" i="57"/>
  <c r="O9" i="57"/>
  <c r="P8" i="57"/>
  <c r="O8" i="57"/>
  <c r="P7" i="57"/>
  <c r="O7" i="57"/>
  <c r="A7" i="57"/>
  <c r="A8" i="57" s="1"/>
  <c r="A9" i="57" s="1"/>
  <c r="A10" i="57" s="1"/>
  <c r="A11" i="57" s="1"/>
  <c r="A12" i="57" s="1"/>
  <c r="P6" i="57"/>
  <c r="O6" i="57"/>
  <c r="P5" i="57"/>
  <c r="O5" i="57"/>
  <c r="P4" i="57"/>
  <c r="O4" i="57"/>
  <c r="C4" i="57"/>
  <c r="F2" i="57"/>
  <c r="G2" i="57" s="1"/>
  <c r="H2" i="57" s="1"/>
  <c r="I2" i="57" s="1"/>
  <c r="J2" i="57" s="1"/>
  <c r="K2" i="57" s="1"/>
  <c r="L2" i="57" s="1"/>
  <c r="M2" i="57" s="1"/>
  <c r="N2" i="57" s="1"/>
  <c r="S81" i="59" l="1"/>
  <c r="T82" i="59" s="1"/>
  <c r="T83" i="59" s="1"/>
  <c r="Q81" i="59"/>
  <c r="Q13" i="58"/>
  <c r="S13" i="58" s="1"/>
  <c r="Q29" i="58"/>
  <c r="S29" i="58" s="1"/>
  <c r="Q45" i="58"/>
  <c r="S45" i="58" s="1"/>
  <c r="Q61" i="58"/>
  <c r="S61" i="58" s="1"/>
  <c r="Q69" i="58"/>
  <c r="S69" i="58" s="1"/>
  <c r="Q32" i="58"/>
  <c r="S32" i="58" s="1"/>
  <c r="Q36" i="58"/>
  <c r="S36" i="58" s="1"/>
  <c r="Q52" i="58"/>
  <c r="S52" i="58" s="1"/>
  <c r="Q68" i="58"/>
  <c r="S68" i="58" s="1"/>
  <c r="Q59" i="58"/>
  <c r="S59" i="58" s="1"/>
  <c r="Q63" i="58"/>
  <c r="S63" i="58" s="1"/>
  <c r="Q24" i="58"/>
  <c r="S24" i="58" s="1"/>
  <c r="Q60" i="58"/>
  <c r="S60" i="58" s="1"/>
  <c r="Q72" i="58"/>
  <c r="S72" i="58" s="1"/>
  <c r="Q33" i="58"/>
  <c r="S33" i="58" s="1"/>
  <c r="Q41" i="58"/>
  <c r="S41" i="58" s="1"/>
  <c r="Q65" i="58"/>
  <c r="S65" i="58" s="1"/>
  <c r="Q73" i="58"/>
  <c r="S73" i="58" s="1"/>
  <c r="Q46" i="58"/>
  <c r="S46" i="58" s="1"/>
  <c r="Q50" i="58"/>
  <c r="S50" i="58" s="1"/>
  <c r="Q27" i="58"/>
  <c r="S27" i="58" s="1"/>
  <c r="Q70" i="58"/>
  <c r="S70" i="58" s="1"/>
  <c r="Q66" i="58"/>
  <c r="S66" i="58" s="1"/>
  <c r="Q64" i="58"/>
  <c r="S64" i="58" s="1"/>
  <c r="Q62" i="58"/>
  <c r="S62" i="58" s="1"/>
  <c r="Q57" i="58"/>
  <c r="S57" i="58" s="1"/>
  <c r="Q56" i="58"/>
  <c r="S56" i="58" s="1"/>
  <c r="Q49" i="58"/>
  <c r="S49" i="58" s="1"/>
  <c r="Q48" i="58"/>
  <c r="S48" i="58" s="1"/>
  <c r="Q47" i="58"/>
  <c r="S47" i="58" s="1"/>
  <c r="Q44" i="58"/>
  <c r="S44" i="58" s="1"/>
  <c r="Q43" i="58"/>
  <c r="S43" i="58" s="1"/>
  <c r="Q40" i="58"/>
  <c r="S40" i="58" s="1"/>
  <c r="Q30" i="58"/>
  <c r="S30" i="58" s="1"/>
  <c r="Q28" i="58"/>
  <c r="S28" i="58" s="1"/>
  <c r="Q23" i="58"/>
  <c r="S23" i="58" s="1"/>
  <c r="Q20" i="58"/>
  <c r="S20" i="58" s="1"/>
  <c r="Q19" i="58"/>
  <c r="S19" i="58" s="1"/>
  <c r="Q16" i="58"/>
  <c r="S16" i="58" s="1"/>
  <c r="Q14" i="58"/>
  <c r="S14" i="58" s="1"/>
  <c r="Q9" i="58"/>
  <c r="S9" i="58" s="1"/>
  <c r="Q6" i="58"/>
  <c r="S6" i="58" s="1"/>
  <c r="Q4" i="58"/>
  <c r="S4" i="58" s="1"/>
  <c r="Q8" i="58"/>
  <c r="S8" i="58" s="1"/>
  <c r="Q12" i="58"/>
  <c r="S12" i="58" s="1"/>
  <c r="Q15" i="58"/>
  <c r="S15" i="58" s="1"/>
  <c r="Q22" i="58"/>
  <c r="S22" i="58" s="1"/>
  <c r="Q26" i="58"/>
  <c r="S26" i="58" s="1"/>
  <c r="O78" i="58"/>
  <c r="Q37" i="58"/>
  <c r="S37" i="58" s="1"/>
  <c r="Q53" i="58"/>
  <c r="S53" i="58" s="1"/>
  <c r="P78" i="58"/>
  <c r="Q10" i="58"/>
  <c r="S10" i="58" s="1"/>
  <c r="Q17" i="58"/>
  <c r="S17" i="58" s="1"/>
  <c r="Q31" i="58"/>
  <c r="S31" i="58" s="1"/>
  <c r="Q34" i="58"/>
  <c r="S34" i="58" s="1"/>
  <c r="Q38" i="58"/>
  <c r="S38" i="58" s="1"/>
  <c r="Q51" i="58"/>
  <c r="S51" i="58" s="1"/>
  <c r="Q54" i="58"/>
  <c r="S54" i="58" s="1"/>
  <c r="Q67" i="58"/>
  <c r="S67" i="58" s="1"/>
  <c r="Q71" i="58"/>
  <c r="S71" i="58" s="1"/>
  <c r="Q74" i="58"/>
  <c r="S74" i="58" s="1"/>
  <c r="Q5" i="58"/>
  <c r="S5" i="58" s="1"/>
  <c r="Q11" i="58"/>
  <c r="S11" i="58" s="1"/>
  <c r="Q18" i="58"/>
  <c r="S18" i="58" s="1"/>
  <c r="Q21" i="58"/>
  <c r="S21" i="58" s="1"/>
  <c r="Q25" i="58"/>
  <c r="S25" i="58" s="1"/>
  <c r="Q35" i="58"/>
  <c r="S35" i="58" s="1"/>
  <c r="Q39" i="58"/>
  <c r="S39" i="58" s="1"/>
  <c r="Q42" i="58"/>
  <c r="S42" i="58" s="1"/>
  <c r="Q55" i="58"/>
  <c r="S55" i="58" s="1"/>
  <c r="Q58" i="58"/>
  <c r="S58" i="58" s="1"/>
  <c r="Q75" i="58"/>
  <c r="S75" i="58" s="1"/>
  <c r="Q22" i="57"/>
  <c r="S22" i="57" s="1"/>
  <c r="Q7" i="57"/>
  <c r="S7" i="57" s="1"/>
  <c r="Q60" i="57"/>
  <c r="S60" i="57" s="1"/>
  <c r="Q32" i="57"/>
  <c r="S32" i="57" s="1"/>
  <c r="Q12" i="57"/>
  <c r="S12" i="57" s="1"/>
  <c r="Q27" i="57"/>
  <c r="S27" i="57" s="1"/>
  <c r="Q59" i="57"/>
  <c r="S59" i="57" s="1"/>
  <c r="Q63" i="57"/>
  <c r="S63" i="57" s="1"/>
  <c r="Q67" i="57"/>
  <c r="S67" i="57" s="1"/>
  <c r="Q20" i="57"/>
  <c r="S20" i="57" s="1"/>
  <c r="Q68" i="57"/>
  <c r="S68" i="57" s="1"/>
  <c r="Q17" i="57"/>
  <c r="S17" i="57" s="1"/>
  <c r="Q45" i="57"/>
  <c r="S45" i="57" s="1"/>
  <c r="Q75" i="57"/>
  <c r="S75" i="57" s="1"/>
  <c r="Q44" i="57"/>
  <c r="S44" i="57" s="1"/>
  <c r="Q43" i="57"/>
  <c r="S43" i="57" s="1"/>
  <c r="Q36" i="57"/>
  <c r="S36" i="57" s="1"/>
  <c r="Q28" i="57"/>
  <c r="S28" i="57" s="1"/>
  <c r="Q23" i="57"/>
  <c r="S23" i="57" s="1"/>
  <c r="Q15" i="57"/>
  <c r="S15" i="57" s="1"/>
  <c r="Q11" i="57"/>
  <c r="S11" i="57" s="1"/>
  <c r="Q9" i="57"/>
  <c r="S9" i="57" s="1"/>
  <c r="Q8" i="57"/>
  <c r="S8" i="57" s="1"/>
  <c r="Q6" i="57"/>
  <c r="S6" i="57" s="1"/>
  <c r="Q19" i="57"/>
  <c r="S19" i="57" s="1"/>
  <c r="Q38" i="57"/>
  <c r="S38" i="57" s="1"/>
  <c r="Q42" i="57"/>
  <c r="S42" i="57" s="1"/>
  <c r="Q57" i="57"/>
  <c r="S57" i="57" s="1"/>
  <c r="Q72" i="57"/>
  <c r="S72" i="57" s="1"/>
  <c r="Q13" i="57"/>
  <c r="S13" i="57" s="1"/>
  <c r="Q16" i="57"/>
  <c r="S16" i="57" s="1"/>
  <c r="Q31" i="57"/>
  <c r="S31" i="57" s="1"/>
  <c r="Q35" i="57"/>
  <c r="S35" i="57" s="1"/>
  <c r="Q73" i="57"/>
  <c r="S73" i="57" s="1"/>
  <c r="Q10" i="57"/>
  <c r="S10" i="57" s="1"/>
  <c r="Q51" i="57"/>
  <c r="S51" i="57" s="1"/>
  <c r="Q70" i="57"/>
  <c r="S70" i="57" s="1"/>
  <c r="Q74" i="57"/>
  <c r="S74" i="57" s="1"/>
  <c r="Q14" i="57"/>
  <c r="S14" i="57" s="1"/>
  <c r="Q40" i="57"/>
  <c r="S40" i="57" s="1"/>
  <c r="P78" i="57"/>
  <c r="Q5" i="57"/>
  <c r="S5" i="57" s="1"/>
  <c r="Q18" i="57"/>
  <c r="S18" i="57" s="1"/>
  <c r="Q33" i="57"/>
  <c r="S33" i="57" s="1"/>
  <c r="Q48" i="57"/>
  <c r="S48" i="57" s="1"/>
  <c r="Q4" i="57"/>
  <c r="S4" i="57" s="1"/>
  <c r="Q21" i="57"/>
  <c r="S21" i="57" s="1"/>
  <c r="Q24" i="57"/>
  <c r="S24" i="57" s="1"/>
  <c r="Q30" i="57"/>
  <c r="S30" i="57" s="1"/>
  <c r="Q34" i="57"/>
  <c r="S34" i="57" s="1"/>
  <c r="Q37" i="57"/>
  <c r="S37" i="57" s="1"/>
  <c r="Q55" i="57"/>
  <c r="S55" i="57" s="1"/>
  <c r="Q62" i="57"/>
  <c r="S62" i="57" s="1"/>
  <c r="Q66" i="57"/>
  <c r="S66" i="57" s="1"/>
  <c r="Q69" i="57"/>
  <c r="S69" i="57" s="1"/>
  <c r="Q49" i="57"/>
  <c r="S49" i="57" s="1"/>
  <c r="Q56" i="57"/>
  <c r="S56" i="57" s="1"/>
  <c r="Q39" i="57"/>
  <c r="S39" i="57" s="1"/>
  <c r="Q46" i="57"/>
  <c r="S46" i="57" s="1"/>
  <c r="Q50" i="57"/>
  <c r="S50" i="57" s="1"/>
  <c r="Q53" i="57"/>
  <c r="S53" i="57" s="1"/>
  <c r="Q71" i="57"/>
  <c r="S71" i="57" s="1"/>
  <c r="Q26" i="57"/>
  <c r="S26" i="57" s="1"/>
  <c r="Q29" i="57"/>
  <c r="S29" i="57" s="1"/>
  <c r="Q47" i="57"/>
  <c r="S47" i="57" s="1"/>
  <c r="Q54" i="57"/>
  <c r="S54" i="57" s="1"/>
  <c r="Q58" i="57"/>
  <c r="S58" i="57" s="1"/>
  <c r="Q61" i="57"/>
  <c r="S61" i="57" s="1"/>
  <c r="O78" i="57"/>
  <c r="A29" i="53"/>
  <c r="A30" i="53" s="1"/>
  <c r="A31" i="53" s="1"/>
  <c r="A32" i="53" s="1"/>
  <c r="A33" i="53" s="1"/>
  <c r="A34" i="53" s="1"/>
  <c r="A35" i="53" s="1"/>
  <c r="A36" i="53" s="1"/>
  <c r="A37" i="53" s="1"/>
  <c r="A38" i="53" s="1"/>
  <c r="A39" i="53" s="1"/>
  <c r="A40" i="53" s="1"/>
  <c r="A41" i="53" s="1"/>
  <c r="A42" i="53" s="1"/>
  <c r="A43" i="53" s="1"/>
  <c r="A44" i="53" s="1"/>
  <c r="A45" i="53" s="1"/>
  <c r="A46" i="53" s="1"/>
  <c r="A47" i="53" s="1"/>
  <c r="A48" i="53" s="1"/>
  <c r="A49" i="53" s="1"/>
  <c r="A50" i="53" s="1"/>
  <c r="A51" i="53" s="1"/>
  <c r="A52" i="53" s="1"/>
  <c r="A53" i="53" s="1"/>
  <c r="A54" i="53" s="1"/>
  <c r="A55" i="53" s="1"/>
  <c r="A56" i="53" s="1"/>
  <c r="A57" i="53" s="1"/>
  <c r="A58" i="53" s="1"/>
  <c r="A59" i="53" s="1"/>
  <c r="A60" i="53" s="1"/>
  <c r="A61" i="53" s="1"/>
  <c r="A62" i="53" s="1"/>
  <c r="A63" i="53" s="1"/>
  <c r="A64" i="53" s="1"/>
  <c r="A65" i="53" s="1"/>
  <c r="A66" i="53" s="1"/>
  <c r="A67" i="53" s="1"/>
  <c r="A68" i="53" s="1"/>
  <c r="A69" i="53" s="1"/>
  <c r="A70" i="53" s="1"/>
  <c r="A71" i="53" s="1"/>
  <c r="A72" i="53" s="1"/>
  <c r="A73" i="53" s="1"/>
  <c r="A74" i="53" s="1"/>
  <c r="A75" i="53" s="1"/>
  <c r="A76" i="53" s="1"/>
  <c r="A77" i="53" s="1"/>
  <c r="A78" i="53" s="1"/>
  <c r="A79" i="53" s="1"/>
  <c r="A80" i="53" s="1"/>
  <c r="A81" i="53" s="1"/>
  <c r="A14" i="53"/>
  <c r="A15" i="53" s="1"/>
  <c r="A16" i="53" s="1"/>
  <c r="A17" i="53" s="1"/>
  <c r="A18" i="53" s="1"/>
  <c r="A19" i="53" s="1"/>
  <c r="A20" i="53" s="1"/>
  <c r="A21" i="53" s="1"/>
  <c r="A22" i="53" s="1"/>
  <c r="A23" i="53" s="1"/>
  <c r="A24" i="53" s="1"/>
  <c r="A25" i="53" s="1"/>
  <c r="A26" i="53" s="1"/>
  <c r="A27" i="53" s="1"/>
  <c r="A7" i="53"/>
  <c r="A8" i="53" s="1"/>
  <c r="A9" i="53" s="1"/>
  <c r="A10" i="53" s="1"/>
  <c r="A11" i="53" s="1"/>
  <c r="A12" i="53" s="1"/>
  <c r="C4" i="53"/>
  <c r="F2" i="53"/>
  <c r="G2" i="53" s="1"/>
  <c r="H2" i="53" s="1"/>
  <c r="I2" i="53" s="1"/>
  <c r="J2" i="53" s="1"/>
  <c r="K2" i="53" s="1"/>
  <c r="L2" i="53" s="1"/>
  <c r="M2" i="53" s="1"/>
  <c r="N2" i="53" s="1"/>
  <c r="O2" i="53" s="1"/>
  <c r="U78" i="56"/>
  <c r="P70" i="56"/>
  <c r="Q70" i="56"/>
  <c r="P71" i="56"/>
  <c r="Q71" i="56"/>
  <c r="P72" i="56"/>
  <c r="Q72" i="56"/>
  <c r="R72" i="56" s="1"/>
  <c r="T72" i="56" s="1"/>
  <c r="P73" i="56"/>
  <c r="Q73" i="56"/>
  <c r="P74" i="56"/>
  <c r="Q74" i="56"/>
  <c r="P75" i="56"/>
  <c r="Q75" i="56"/>
  <c r="S78" i="56"/>
  <c r="O78" i="56"/>
  <c r="J78" i="56"/>
  <c r="I78" i="56"/>
  <c r="H78" i="56"/>
  <c r="G78" i="56"/>
  <c r="F78" i="56"/>
  <c r="E78" i="56"/>
  <c r="Q69" i="56"/>
  <c r="P69" i="56"/>
  <c r="Q68" i="56"/>
  <c r="P68" i="56"/>
  <c r="Q67" i="56"/>
  <c r="P67" i="56"/>
  <c r="Q66" i="56"/>
  <c r="P66" i="56"/>
  <c r="Q65" i="56"/>
  <c r="P65" i="56"/>
  <c r="Q64" i="56"/>
  <c r="P64" i="56"/>
  <c r="Q63" i="56"/>
  <c r="P63" i="56"/>
  <c r="Q62" i="56"/>
  <c r="P62" i="56"/>
  <c r="Q61" i="56"/>
  <c r="P61" i="56"/>
  <c r="Q60" i="56"/>
  <c r="P60" i="56"/>
  <c r="Q59" i="56"/>
  <c r="P59" i="56"/>
  <c r="Q58" i="56"/>
  <c r="P58" i="56"/>
  <c r="Q57" i="56"/>
  <c r="P57" i="56"/>
  <c r="Q56" i="56"/>
  <c r="P56" i="56"/>
  <c r="Q55" i="56"/>
  <c r="P55" i="56"/>
  <c r="Q54" i="56"/>
  <c r="P54" i="56"/>
  <c r="Q53" i="56"/>
  <c r="P53" i="56"/>
  <c r="Q52" i="56"/>
  <c r="P52" i="56"/>
  <c r="Q51" i="56"/>
  <c r="P51" i="56"/>
  <c r="Q50" i="56"/>
  <c r="P50" i="56"/>
  <c r="Q49" i="56"/>
  <c r="P49" i="56"/>
  <c r="Q48" i="56"/>
  <c r="P48" i="56"/>
  <c r="Q47" i="56"/>
  <c r="P47" i="56"/>
  <c r="Q46" i="56"/>
  <c r="P46" i="56"/>
  <c r="Q45" i="56"/>
  <c r="P45" i="56"/>
  <c r="Q44" i="56"/>
  <c r="P44" i="56"/>
  <c r="Q43" i="56"/>
  <c r="P43" i="56"/>
  <c r="Q42" i="56"/>
  <c r="P42" i="56"/>
  <c r="Q41" i="56"/>
  <c r="P41" i="56"/>
  <c r="Q40" i="56"/>
  <c r="P40" i="56"/>
  <c r="Q39" i="56"/>
  <c r="P39" i="56"/>
  <c r="Q38" i="56"/>
  <c r="P38" i="56"/>
  <c r="Q37" i="56"/>
  <c r="P37" i="56"/>
  <c r="Q36" i="56"/>
  <c r="P36" i="56"/>
  <c r="Q35" i="56"/>
  <c r="P35" i="56"/>
  <c r="Q34" i="56"/>
  <c r="P34" i="56"/>
  <c r="Q33" i="56"/>
  <c r="P33" i="56"/>
  <c r="Q32" i="56"/>
  <c r="P32" i="56"/>
  <c r="Q31" i="56"/>
  <c r="P31" i="56"/>
  <c r="Q30" i="56"/>
  <c r="P30" i="56"/>
  <c r="Q29" i="56"/>
  <c r="P29" i="56"/>
  <c r="Q28" i="56"/>
  <c r="P28" i="56"/>
  <c r="Q27" i="56"/>
  <c r="P27" i="56"/>
  <c r="Q26" i="56"/>
  <c r="P26" i="56"/>
  <c r="Q25" i="56"/>
  <c r="P25" i="56"/>
  <c r="Q24" i="56"/>
  <c r="P24" i="56"/>
  <c r="Q23" i="56"/>
  <c r="P23" i="56"/>
  <c r="Q22" i="56"/>
  <c r="P22" i="56"/>
  <c r="Q21" i="56"/>
  <c r="P21" i="56"/>
  <c r="Q20" i="56"/>
  <c r="P20" i="56"/>
  <c r="Q19" i="56"/>
  <c r="P19" i="56"/>
  <c r="Q18" i="56"/>
  <c r="P18" i="56"/>
  <c r="Q17" i="56"/>
  <c r="P17" i="56"/>
  <c r="Q16" i="56"/>
  <c r="P16" i="56"/>
  <c r="Q15" i="56"/>
  <c r="P15" i="56"/>
  <c r="Q14" i="56"/>
  <c r="P14" i="56"/>
  <c r="A14" i="56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A53" i="56" s="1"/>
  <c r="A54" i="56" s="1"/>
  <c r="A55" i="56" s="1"/>
  <c r="A56" i="56" s="1"/>
  <c r="A57" i="56" s="1"/>
  <c r="A58" i="56" s="1"/>
  <c r="A59" i="56" s="1"/>
  <c r="A60" i="56" s="1"/>
  <c r="A61" i="56" s="1"/>
  <c r="A62" i="56" s="1"/>
  <c r="A63" i="56" s="1"/>
  <c r="A64" i="56" s="1"/>
  <c r="A65" i="56" s="1"/>
  <c r="A66" i="56" s="1"/>
  <c r="A67" i="56" s="1"/>
  <c r="A68" i="56" s="1"/>
  <c r="A69" i="56" s="1"/>
  <c r="A70" i="56" s="1"/>
  <c r="A71" i="56" s="1"/>
  <c r="A72" i="56" s="1"/>
  <c r="A73" i="56" s="1"/>
  <c r="A74" i="56" s="1"/>
  <c r="A75" i="56" s="1"/>
  <c r="Q13" i="56"/>
  <c r="P13" i="56"/>
  <c r="Q12" i="56"/>
  <c r="P12" i="56"/>
  <c r="Q11" i="56"/>
  <c r="P11" i="56"/>
  <c r="Q10" i="56"/>
  <c r="P10" i="56"/>
  <c r="Q9" i="56"/>
  <c r="P9" i="56"/>
  <c r="Q8" i="56"/>
  <c r="P8" i="56"/>
  <c r="Q7" i="56"/>
  <c r="P7" i="56"/>
  <c r="Q6" i="56"/>
  <c r="P6" i="56"/>
  <c r="A7" i="56"/>
  <c r="A8" i="56" s="1"/>
  <c r="A9" i="56" s="1"/>
  <c r="A10" i="56" s="1"/>
  <c r="A11" i="56" s="1"/>
  <c r="A12" i="56" s="1"/>
  <c r="Q5" i="56"/>
  <c r="P5" i="56"/>
  <c r="Q4" i="56"/>
  <c r="P4" i="56"/>
  <c r="C4" i="56"/>
  <c r="F2" i="56"/>
  <c r="G2" i="56" s="1"/>
  <c r="H2" i="56" s="1"/>
  <c r="I2" i="56" s="1"/>
  <c r="J2" i="56" s="1"/>
  <c r="K2" i="56" s="1"/>
  <c r="L2" i="56" s="1"/>
  <c r="M2" i="56" s="1"/>
  <c r="N2" i="56" s="1"/>
  <c r="O2" i="56" s="1"/>
  <c r="S78" i="58" l="1"/>
  <c r="Q78" i="58"/>
  <c r="Q78" i="57"/>
  <c r="S78" i="57"/>
  <c r="T79" i="57" s="1"/>
  <c r="R24" i="56"/>
  <c r="T24" i="56" s="1"/>
  <c r="R74" i="56"/>
  <c r="T74" i="56" s="1"/>
  <c r="R70" i="56"/>
  <c r="T70" i="56" s="1"/>
  <c r="R49" i="56"/>
  <c r="T49" i="56" s="1"/>
  <c r="R53" i="56"/>
  <c r="T53" i="56" s="1"/>
  <c r="R57" i="56"/>
  <c r="T57" i="56" s="1"/>
  <c r="R61" i="56"/>
  <c r="T61" i="56" s="1"/>
  <c r="R65" i="56"/>
  <c r="T65" i="56" s="1"/>
  <c r="R69" i="56"/>
  <c r="T69" i="56" s="1"/>
  <c r="R39" i="56"/>
  <c r="T39" i="56" s="1"/>
  <c r="R43" i="56"/>
  <c r="T43" i="56" s="1"/>
  <c r="R47" i="56"/>
  <c r="T47" i="56" s="1"/>
  <c r="R35" i="56"/>
  <c r="T35" i="56" s="1"/>
  <c r="R31" i="56"/>
  <c r="T31" i="56" s="1"/>
  <c r="R20" i="56"/>
  <c r="T20" i="56" s="1"/>
  <c r="R16" i="56"/>
  <c r="T16" i="56" s="1"/>
  <c r="R13" i="56"/>
  <c r="T13" i="56" s="1"/>
  <c r="R73" i="56"/>
  <c r="T73" i="56" s="1"/>
  <c r="R75" i="56"/>
  <c r="T75" i="56" s="1"/>
  <c r="R71" i="56"/>
  <c r="T71" i="56" s="1"/>
  <c r="R9" i="56"/>
  <c r="T9" i="56" s="1"/>
  <c r="R6" i="56"/>
  <c r="T6" i="56" s="1"/>
  <c r="R10" i="56"/>
  <c r="T10" i="56" s="1"/>
  <c r="R7" i="56"/>
  <c r="T7" i="56" s="1"/>
  <c r="R11" i="56"/>
  <c r="T11" i="56" s="1"/>
  <c r="R8" i="56"/>
  <c r="T8" i="56" s="1"/>
  <c r="R12" i="56"/>
  <c r="T12" i="56" s="1"/>
  <c r="R51" i="56"/>
  <c r="T51" i="56" s="1"/>
  <c r="R55" i="56"/>
  <c r="T55" i="56" s="1"/>
  <c r="R59" i="56"/>
  <c r="T59" i="56" s="1"/>
  <c r="R63" i="56"/>
  <c r="T63" i="56" s="1"/>
  <c r="R67" i="56"/>
  <c r="T67" i="56" s="1"/>
  <c r="R4" i="56"/>
  <c r="T4" i="56" s="1"/>
  <c r="R17" i="56"/>
  <c r="T17" i="56" s="1"/>
  <c r="R21" i="56"/>
  <c r="T21" i="56" s="1"/>
  <c r="R25" i="56"/>
  <c r="T25" i="56" s="1"/>
  <c r="R28" i="56"/>
  <c r="T28" i="56" s="1"/>
  <c r="R32" i="56"/>
  <c r="T32" i="56" s="1"/>
  <c r="R36" i="56"/>
  <c r="T36" i="56" s="1"/>
  <c r="R40" i="56"/>
  <c r="T40" i="56" s="1"/>
  <c r="R44" i="56"/>
  <c r="T44" i="56" s="1"/>
  <c r="R48" i="56"/>
  <c r="T48" i="56" s="1"/>
  <c r="R52" i="56"/>
  <c r="T52" i="56" s="1"/>
  <c r="R56" i="56"/>
  <c r="T56" i="56" s="1"/>
  <c r="R60" i="56"/>
  <c r="T60" i="56" s="1"/>
  <c r="R64" i="56"/>
  <c r="T64" i="56" s="1"/>
  <c r="R68" i="56"/>
  <c r="T68" i="56" s="1"/>
  <c r="R5" i="56"/>
  <c r="T5" i="56" s="1"/>
  <c r="R14" i="56"/>
  <c r="T14" i="56" s="1"/>
  <c r="R18" i="56"/>
  <c r="T18" i="56" s="1"/>
  <c r="R22" i="56"/>
  <c r="T22" i="56" s="1"/>
  <c r="R26" i="56"/>
  <c r="T26" i="56" s="1"/>
  <c r="R29" i="56"/>
  <c r="T29" i="56" s="1"/>
  <c r="R33" i="56"/>
  <c r="T33" i="56" s="1"/>
  <c r="R37" i="56"/>
  <c r="T37" i="56" s="1"/>
  <c r="R41" i="56"/>
  <c r="T41" i="56" s="1"/>
  <c r="R45" i="56"/>
  <c r="T45" i="56" s="1"/>
  <c r="R15" i="56"/>
  <c r="T15" i="56" s="1"/>
  <c r="R19" i="56"/>
  <c r="T19" i="56" s="1"/>
  <c r="R23" i="56"/>
  <c r="T23" i="56" s="1"/>
  <c r="R27" i="56"/>
  <c r="T27" i="56" s="1"/>
  <c r="R30" i="56"/>
  <c r="T30" i="56" s="1"/>
  <c r="R34" i="56"/>
  <c r="T34" i="56" s="1"/>
  <c r="R38" i="56"/>
  <c r="T38" i="56" s="1"/>
  <c r="R42" i="56"/>
  <c r="T42" i="56" s="1"/>
  <c r="R46" i="56"/>
  <c r="T46" i="56" s="1"/>
  <c r="R50" i="56"/>
  <c r="T50" i="56" s="1"/>
  <c r="R54" i="56"/>
  <c r="T54" i="56" s="1"/>
  <c r="R58" i="56"/>
  <c r="T58" i="56" s="1"/>
  <c r="R62" i="56"/>
  <c r="T62" i="56" s="1"/>
  <c r="R66" i="56"/>
  <c r="T66" i="56" s="1"/>
  <c r="Q78" i="56"/>
  <c r="P78" i="56"/>
  <c r="R78" i="55"/>
  <c r="N78" i="55"/>
  <c r="J78" i="55"/>
  <c r="I78" i="55"/>
  <c r="H78" i="55"/>
  <c r="G78" i="55"/>
  <c r="F78" i="55"/>
  <c r="E78" i="55"/>
  <c r="T77" i="55"/>
  <c r="P71" i="55"/>
  <c r="O71" i="55"/>
  <c r="P70" i="55"/>
  <c r="O70" i="55"/>
  <c r="P69" i="55"/>
  <c r="Q69" i="55" s="1"/>
  <c r="S69" i="55" s="1"/>
  <c r="O69" i="55"/>
  <c r="P68" i="55"/>
  <c r="O68" i="55"/>
  <c r="P67" i="55"/>
  <c r="O67" i="55"/>
  <c r="P66" i="55"/>
  <c r="O66" i="55"/>
  <c r="P65" i="55"/>
  <c r="Q65" i="55" s="1"/>
  <c r="S65" i="55" s="1"/>
  <c r="O65" i="55"/>
  <c r="P64" i="55"/>
  <c r="O64" i="55"/>
  <c r="P63" i="55"/>
  <c r="O63" i="55"/>
  <c r="P62" i="55"/>
  <c r="O62" i="55"/>
  <c r="P61" i="55"/>
  <c r="Q61" i="55" s="1"/>
  <c r="S61" i="55" s="1"/>
  <c r="O61" i="55"/>
  <c r="P60" i="55"/>
  <c r="O60" i="55"/>
  <c r="P59" i="55"/>
  <c r="O59" i="55"/>
  <c r="P58" i="55"/>
  <c r="O58" i="55"/>
  <c r="P57" i="55"/>
  <c r="Q57" i="55" s="1"/>
  <c r="S57" i="55" s="1"/>
  <c r="O57" i="55"/>
  <c r="P56" i="55"/>
  <c r="O56" i="55"/>
  <c r="P55" i="55"/>
  <c r="O55" i="55"/>
  <c r="P54" i="55"/>
  <c r="O54" i="55"/>
  <c r="P53" i="55"/>
  <c r="O53" i="55"/>
  <c r="P52" i="55"/>
  <c r="O52" i="55"/>
  <c r="P51" i="55"/>
  <c r="O51" i="55"/>
  <c r="P50" i="55"/>
  <c r="O50" i="55"/>
  <c r="P49" i="55"/>
  <c r="O49" i="55"/>
  <c r="P48" i="55"/>
  <c r="O48" i="55"/>
  <c r="P47" i="55"/>
  <c r="O47" i="55"/>
  <c r="P46" i="55"/>
  <c r="O46" i="55"/>
  <c r="P45" i="55"/>
  <c r="O45" i="55"/>
  <c r="P44" i="55"/>
  <c r="O44" i="55"/>
  <c r="P43" i="55"/>
  <c r="O43" i="55"/>
  <c r="P42" i="55"/>
  <c r="O42" i="55"/>
  <c r="P41" i="55"/>
  <c r="O41" i="55"/>
  <c r="P40" i="55"/>
  <c r="O40" i="55"/>
  <c r="P39" i="55"/>
  <c r="O39" i="55"/>
  <c r="P38" i="55"/>
  <c r="O38" i="55"/>
  <c r="P37" i="55"/>
  <c r="O37" i="55"/>
  <c r="P36" i="55"/>
  <c r="O36" i="55"/>
  <c r="P35" i="55"/>
  <c r="O35" i="55"/>
  <c r="P34" i="55"/>
  <c r="O34" i="55"/>
  <c r="P33" i="55"/>
  <c r="O33" i="55"/>
  <c r="P32" i="55"/>
  <c r="O32" i="55"/>
  <c r="P31" i="55"/>
  <c r="O31" i="55"/>
  <c r="P30" i="55"/>
  <c r="O30" i="55"/>
  <c r="P29" i="55"/>
  <c r="O29" i="55"/>
  <c r="P28" i="55"/>
  <c r="O28" i="55"/>
  <c r="P27" i="55"/>
  <c r="O27" i="55"/>
  <c r="P26" i="55"/>
  <c r="O26" i="55"/>
  <c r="P25" i="55"/>
  <c r="O25" i="55"/>
  <c r="P24" i="55"/>
  <c r="O24" i="55"/>
  <c r="P23" i="55"/>
  <c r="O23" i="55"/>
  <c r="P22" i="55"/>
  <c r="O22" i="55"/>
  <c r="P21" i="55"/>
  <c r="O21" i="55"/>
  <c r="P20" i="55"/>
  <c r="O20" i="55"/>
  <c r="P19" i="55"/>
  <c r="O19" i="55"/>
  <c r="P18" i="55"/>
  <c r="O18" i="55"/>
  <c r="P17" i="55"/>
  <c r="O17" i="55"/>
  <c r="P16" i="55"/>
  <c r="O16" i="55"/>
  <c r="P15" i="55"/>
  <c r="O15" i="55"/>
  <c r="A15" i="55"/>
  <c r="A16" i="55" s="1"/>
  <c r="P14" i="55"/>
  <c r="O14" i="55"/>
  <c r="P13" i="55"/>
  <c r="O13" i="55"/>
  <c r="P12" i="55"/>
  <c r="O12" i="55"/>
  <c r="P11" i="55"/>
  <c r="O11" i="55"/>
  <c r="P10" i="55"/>
  <c r="O10" i="55"/>
  <c r="P9" i="55"/>
  <c r="O9" i="55"/>
  <c r="P8" i="55"/>
  <c r="O8" i="55"/>
  <c r="P7" i="55"/>
  <c r="O7" i="55"/>
  <c r="P6" i="55"/>
  <c r="O6" i="55"/>
  <c r="A6" i="55"/>
  <c r="A7" i="55" s="1"/>
  <c r="A8" i="55" s="1"/>
  <c r="A9" i="55" s="1"/>
  <c r="A10" i="55" s="1"/>
  <c r="A11" i="55" s="1"/>
  <c r="A12" i="55" s="1"/>
  <c r="A13" i="55" s="1"/>
  <c r="P5" i="55"/>
  <c r="O5" i="55"/>
  <c r="P4" i="55"/>
  <c r="O4" i="55"/>
  <c r="C4" i="55"/>
  <c r="F2" i="55"/>
  <c r="G2" i="55" s="1"/>
  <c r="H2" i="55" s="1"/>
  <c r="I2" i="55" s="1"/>
  <c r="J2" i="55" s="1"/>
  <c r="K2" i="55" s="1"/>
  <c r="L2" i="55" s="1"/>
  <c r="T79" i="58" l="1"/>
  <c r="T80" i="58" s="1"/>
  <c r="S81" i="58"/>
  <c r="T78" i="56"/>
  <c r="U79" i="56" s="1"/>
  <c r="R78" i="56"/>
  <c r="Q50" i="55"/>
  <c r="S50" i="55" s="1"/>
  <c r="Q54" i="55"/>
  <c r="S54" i="55" s="1"/>
  <c r="Q62" i="55"/>
  <c r="S62" i="55" s="1"/>
  <c r="Q71" i="55"/>
  <c r="S71" i="55" s="1"/>
  <c r="Q52" i="55"/>
  <c r="S52" i="55" s="1"/>
  <c r="Q56" i="55"/>
  <c r="S56" i="55" s="1"/>
  <c r="Q60" i="55"/>
  <c r="S60" i="55" s="1"/>
  <c r="Q64" i="55"/>
  <c r="S64" i="55" s="1"/>
  <c r="Q68" i="55"/>
  <c r="S68" i="55" s="1"/>
  <c r="Q58" i="55"/>
  <c r="S58" i="55" s="1"/>
  <c r="Q67" i="55"/>
  <c r="S67" i="55" s="1"/>
  <c r="Q39" i="55"/>
  <c r="S39" i="55" s="1"/>
  <c r="Q47" i="55"/>
  <c r="S47" i="55" s="1"/>
  <c r="Q5" i="55"/>
  <c r="S5" i="55" s="1"/>
  <c r="Q70" i="55"/>
  <c r="S70" i="55" s="1"/>
  <c r="Q66" i="55"/>
  <c r="S66" i="55" s="1"/>
  <c r="Q51" i="55"/>
  <c r="S51" i="55" s="1"/>
  <c r="Q43" i="55"/>
  <c r="S43" i="55" s="1"/>
  <c r="Q35" i="55"/>
  <c r="S35" i="55" s="1"/>
  <c r="Q31" i="55"/>
  <c r="S31" i="55" s="1"/>
  <c r="Q27" i="55"/>
  <c r="S27" i="55" s="1"/>
  <c r="Q23" i="55"/>
  <c r="S23" i="55" s="1"/>
  <c r="Q19" i="55"/>
  <c r="S19" i="55" s="1"/>
  <c r="Q15" i="55"/>
  <c r="S15" i="55" s="1"/>
  <c r="Q14" i="55"/>
  <c r="S14" i="55" s="1"/>
  <c r="Q12" i="55"/>
  <c r="S12" i="55" s="1"/>
  <c r="Q11" i="55"/>
  <c r="S11" i="55" s="1"/>
  <c r="Q9" i="55"/>
  <c r="S9" i="55" s="1"/>
  <c r="Q8" i="55"/>
  <c r="S8" i="55" s="1"/>
  <c r="Q7" i="55"/>
  <c r="S7" i="55" s="1"/>
  <c r="Q6" i="55"/>
  <c r="S6" i="55" s="1"/>
  <c r="Q4" i="55"/>
  <c r="S4" i="55" s="1"/>
  <c r="Q10" i="55"/>
  <c r="S10" i="55" s="1"/>
  <c r="Q59" i="55"/>
  <c r="S59" i="55" s="1"/>
  <c r="Q63" i="55"/>
  <c r="S63" i="55" s="1"/>
  <c r="Q13" i="55"/>
  <c r="S13" i="55" s="1"/>
  <c r="Q16" i="55"/>
  <c r="S16" i="55" s="1"/>
  <c r="Q20" i="55"/>
  <c r="S20" i="55" s="1"/>
  <c r="Q24" i="55"/>
  <c r="S24" i="55" s="1"/>
  <c r="Q28" i="55"/>
  <c r="S28" i="55" s="1"/>
  <c r="Q32" i="55"/>
  <c r="S32" i="55" s="1"/>
  <c r="Q36" i="55"/>
  <c r="S36" i="55" s="1"/>
  <c r="Q40" i="55"/>
  <c r="S40" i="55" s="1"/>
  <c r="Q44" i="55"/>
  <c r="S44" i="55" s="1"/>
  <c r="Q48" i="55"/>
  <c r="S48" i="55" s="1"/>
  <c r="Q55" i="55"/>
  <c r="S55" i="55" s="1"/>
  <c r="P78" i="55"/>
  <c r="Q17" i="55"/>
  <c r="S17" i="55" s="1"/>
  <c r="Q21" i="55"/>
  <c r="S21" i="55" s="1"/>
  <c r="Q25" i="55"/>
  <c r="S25" i="55" s="1"/>
  <c r="Q29" i="55"/>
  <c r="S29" i="55" s="1"/>
  <c r="Q33" i="55"/>
  <c r="S33" i="55" s="1"/>
  <c r="Q37" i="55"/>
  <c r="S37" i="55" s="1"/>
  <c r="Q41" i="55"/>
  <c r="S41" i="55" s="1"/>
  <c r="Q45" i="55"/>
  <c r="S45" i="55" s="1"/>
  <c r="Q49" i="55"/>
  <c r="S49" i="55" s="1"/>
  <c r="Q53" i="55"/>
  <c r="S53" i="55" s="1"/>
  <c r="O78" i="55"/>
  <c r="Q18" i="55"/>
  <c r="S18" i="55" s="1"/>
  <c r="Q22" i="55"/>
  <c r="S22" i="55" s="1"/>
  <c r="Q26" i="55"/>
  <c r="S26" i="55" s="1"/>
  <c r="Q30" i="55"/>
  <c r="S30" i="55" s="1"/>
  <c r="Q34" i="55"/>
  <c r="S34" i="55" s="1"/>
  <c r="Q38" i="55"/>
  <c r="S38" i="55" s="1"/>
  <c r="Q42" i="55"/>
  <c r="S42" i="55" s="1"/>
  <c r="Q46" i="55"/>
  <c r="S46" i="55" s="1"/>
  <c r="M78" i="54"/>
  <c r="E78" i="54"/>
  <c r="N64" i="54"/>
  <c r="O64" i="54"/>
  <c r="N65" i="54"/>
  <c r="O65" i="54"/>
  <c r="N66" i="54"/>
  <c r="O66" i="54"/>
  <c r="P66" i="54" s="1"/>
  <c r="R66" i="54" s="1"/>
  <c r="N67" i="54"/>
  <c r="O67" i="54"/>
  <c r="N68" i="54"/>
  <c r="O68" i="54"/>
  <c r="N69" i="54"/>
  <c r="O69" i="54"/>
  <c r="N70" i="54"/>
  <c r="O70" i="54"/>
  <c r="N71" i="54"/>
  <c r="O71" i="54"/>
  <c r="N72" i="54"/>
  <c r="O72" i="54"/>
  <c r="P72" i="54" s="1"/>
  <c r="R72" i="54" s="1"/>
  <c r="N63" i="54"/>
  <c r="O63" i="54"/>
  <c r="G2" i="54"/>
  <c r="H2" i="54" s="1"/>
  <c r="I2" i="54" s="1"/>
  <c r="J2" i="54" s="1"/>
  <c r="K2" i="54" s="1"/>
  <c r="L2" i="54" s="1"/>
  <c r="M2" i="54" s="1"/>
  <c r="Q78" i="54"/>
  <c r="J78" i="54"/>
  <c r="I78" i="54"/>
  <c r="H78" i="54"/>
  <c r="G78" i="54"/>
  <c r="F78" i="54"/>
  <c r="S77" i="54"/>
  <c r="O62" i="54"/>
  <c r="N62" i="54"/>
  <c r="O61" i="54"/>
  <c r="N61" i="54"/>
  <c r="O60" i="54"/>
  <c r="N60" i="54"/>
  <c r="O59" i="54"/>
  <c r="P59" i="54" s="1"/>
  <c r="R59" i="54" s="1"/>
  <c r="N59" i="54"/>
  <c r="O58" i="54"/>
  <c r="N58" i="54"/>
  <c r="O57" i="54"/>
  <c r="N57" i="54"/>
  <c r="O56" i="54"/>
  <c r="N56" i="54"/>
  <c r="O55" i="54"/>
  <c r="P55" i="54" s="1"/>
  <c r="R55" i="54" s="1"/>
  <c r="N55" i="54"/>
  <c r="O54" i="54"/>
  <c r="N54" i="54"/>
  <c r="O53" i="54"/>
  <c r="N53" i="54"/>
  <c r="O52" i="54"/>
  <c r="N52" i="54"/>
  <c r="O51" i="54"/>
  <c r="P51" i="54" s="1"/>
  <c r="R51" i="54" s="1"/>
  <c r="N51" i="54"/>
  <c r="O50" i="54"/>
  <c r="N50" i="54"/>
  <c r="O49" i="54"/>
  <c r="N49" i="54"/>
  <c r="O48" i="54"/>
  <c r="N48" i="54"/>
  <c r="O47" i="54"/>
  <c r="N47" i="54"/>
  <c r="O46" i="54"/>
  <c r="N46" i="54"/>
  <c r="O45" i="54"/>
  <c r="N45" i="54"/>
  <c r="O44" i="54"/>
  <c r="N44" i="54"/>
  <c r="O43" i="54"/>
  <c r="N43" i="54"/>
  <c r="O42" i="54"/>
  <c r="N42" i="54"/>
  <c r="O41" i="54"/>
  <c r="N41" i="54"/>
  <c r="P41" i="54" s="1"/>
  <c r="R41" i="54" s="1"/>
  <c r="O40" i="54"/>
  <c r="N40" i="54"/>
  <c r="O39" i="54"/>
  <c r="N39" i="54"/>
  <c r="O38" i="54"/>
  <c r="N38" i="54"/>
  <c r="O37" i="54"/>
  <c r="N37" i="54"/>
  <c r="P37" i="54" s="1"/>
  <c r="R37" i="54" s="1"/>
  <c r="O36" i="54"/>
  <c r="N36" i="54"/>
  <c r="O35" i="54"/>
  <c r="N35" i="54"/>
  <c r="O34" i="54"/>
  <c r="N34" i="54"/>
  <c r="O33" i="54"/>
  <c r="N33" i="54"/>
  <c r="O32" i="54"/>
  <c r="N32" i="54"/>
  <c r="O31" i="54"/>
  <c r="N31" i="54"/>
  <c r="O30" i="54"/>
  <c r="N30" i="54"/>
  <c r="O29" i="54"/>
  <c r="N29" i="54"/>
  <c r="P29" i="54" s="1"/>
  <c r="R29" i="54" s="1"/>
  <c r="O28" i="54"/>
  <c r="N28" i="54"/>
  <c r="O27" i="54"/>
  <c r="N27" i="54"/>
  <c r="O26" i="54"/>
  <c r="N26" i="54"/>
  <c r="O25" i="54"/>
  <c r="N25" i="54"/>
  <c r="P25" i="54" s="1"/>
  <c r="R25" i="54" s="1"/>
  <c r="O24" i="54"/>
  <c r="N24" i="54"/>
  <c r="O23" i="54"/>
  <c r="N23" i="54"/>
  <c r="O22" i="54"/>
  <c r="N22" i="54"/>
  <c r="O21" i="54"/>
  <c r="N21" i="54"/>
  <c r="O20" i="54"/>
  <c r="N20" i="54"/>
  <c r="O19" i="54"/>
  <c r="N19" i="54"/>
  <c r="O18" i="54"/>
  <c r="N18" i="54"/>
  <c r="O17" i="54"/>
  <c r="N17" i="54"/>
  <c r="O16" i="54"/>
  <c r="N16" i="54"/>
  <c r="A16" i="54"/>
  <c r="O15" i="54"/>
  <c r="N15" i="54"/>
  <c r="A15" i="54"/>
  <c r="O14" i="54"/>
  <c r="N14" i="54"/>
  <c r="O13" i="54"/>
  <c r="N13" i="54"/>
  <c r="O12" i="54"/>
  <c r="N12" i="54"/>
  <c r="P12" i="54" s="1"/>
  <c r="R12" i="54" s="1"/>
  <c r="O11" i="54"/>
  <c r="N11" i="54"/>
  <c r="O10" i="54"/>
  <c r="N10" i="54"/>
  <c r="O9" i="54"/>
  <c r="N9" i="54"/>
  <c r="O8" i="54"/>
  <c r="N8" i="54"/>
  <c r="O7" i="54"/>
  <c r="N7" i="54"/>
  <c r="O6" i="54"/>
  <c r="N6" i="54"/>
  <c r="A6" i="54"/>
  <c r="A7" i="54" s="1"/>
  <c r="A8" i="54" s="1"/>
  <c r="A9" i="54" s="1"/>
  <c r="A10" i="54" s="1"/>
  <c r="A11" i="54" s="1"/>
  <c r="A12" i="54" s="1"/>
  <c r="A13" i="54" s="1"/>
  <c r="O5" i="54"/>
  <c r="N5" i="54"/>
  <c r="O4" i="54"/>
  <c r="N4" i="54"/>
  <c r="C4" i="54"/>
  <c r="F2" i="54"/>
  <c r="S77" i="55" l="1"/>
  <c r="T78" i="55" s="1"/>
  <c r="S78" i="55"/>
  <c r="Q78" i="55"/>
  <c r="P70" i="54"/>
  <c r="R70" i="54" s="1"/>
  <c r="P69" i="54"/>
  <c r="R69" i="54" s="1"/>
  <c r="P71" i="54"/>
  <c r="R71" i="54" s="1"/>
  <c r="P68" i="54"/>
  <c r="R68" i="54" s="1"/>
  <c r="P67" i="54"/>
  <c r="R67" i="54" s="1"/>
  <c r="P65" i="54"/>
  <c r="R65" i="54" s="1"/>
  <c r="P64" i="54"/>
  <c r="R64" i="54" s="1"/>
  <c r="R77" i="54" s="1"/>
  <c r="P63" i="54"/>
  <c r="R63" i="54" s="1"/>
  <c r="P49" i="54"/>
  <c r="R49" i="54" s="1"/>
  <c r="P45" i="54"/>
  <c r="R45" i="54" s="1"/>
  <c r="P33" i="54"/>
  <c r="R33" i="54" s="1"/>
  <c r="P21" i="54"/>
  <c r="R21" i="54" s="1"/>
  <c r="P17" i="54"/>
  <c r="R17" i="54" s="1"/>
  <c r="P15" i="54"/>
  <c r="R15" i="54" s="1"/>
  <c r="P13" i="54"/>
  <c r="R13" i="54" s="1"/>
  <c r="P10" i="54"/>
  <c r="R10" i="54" s="1"/>
  <c r="P8" i="54"/>
  <c r="R8" i="54" s="1"/>
  <c r="P5" i="54"/>
  <c r="R5" i="54" s="1"/>
  <c r="P4" i="54"/>
  <c r="R4" i="54" s="1"/>
  <c r="P11" i="54"/>
  <c r="R11" i="54" s="1"/>
  <c r="P14" i="54"/>
  <c r="R14" i="54" s="1"/>
  <c r="P53" i="54"/>
  <c r="R53" i="54" s="1"/>
  <c r="P9" i="54"/>
  <c r="R9" i="54" s="1"/>
  <c r="P18" i="54"/>
  <c r="R18" i="54" s="1"/>
  <c r="P22" i="54"/>
  <c r="R22" i="54" s="1"/>
  <c r="P26" i="54"/>
  <c r="R26" i="54" s="1"/>
  <c r="P30" i="54"/>
  <c r="R30" i="54" s="1"/>
  <c r="P34" i="54"/>
  <c r="R34" i="54" s="1"/>
  <c r="P38" i="54"/>
  <c r="R38" i="54" s="1"/>
  <c r="P42" i="54"/>
  <c r="R42" i="54" s="1"/>
  <c r="P46" i="54"/>
  <c r="R46" i="54" s="1"/>
  <c r="P50" i="54"/>
  <c r="R50" i="54" s="1"/>
  <c r="P54" i="54"/>
  <c r="R54" i="54" s="1"/>
  <c r="P58" i="54"/>
  <c r="R58" i="54" s="1"/>
  <c r="P62" i="54"/>
  <c r="R62" i="54" s="1"/>
  <c r="P61" i="54"/>
  <c r="R61" i="54" s="1"/>
  <c r="P6" i="54"/>
  <c r="R6" i="54" s="1"/>
  <c r="P19" i="54"/>
  <c r="R19" i="54" s="1"/>
  <c r="P23" i="54"/>
  <c r="R23" i="54" s="1"/>
  <c r="P27" i="54"/>
  <c r="R27" i="54" s="1"/>
  <c r="P31" i="54"/>
  <c r="R31" i="54" s="1"/>
  <c r="P35" i="54"/>
  <c r="R35" i="54" s="1"/>
  <c r="P39" i="54"/>
  <c r="R39" i="54" s="1"/>
  <c r="P43" i="54"/>
  <c r="R43" i="54" s="1"/>
  <c r="P47" i="54"/>
  <c r="R47" i="54" s="1"/>
  <c r="P57" i="54"/>
  <c r="R57" i="54" s="1"/>
  <c r="P7" i="54"/>
  <c r="R7" i="54" s="1"/>
  <c r="P16" i="54"/>
  <c r="R16" i="54" s="1"/>
  <c r="P20" i="54"/>
  <c r="R20" i="54" s="1"/>
  <c r="P24" i="54"/>
  <c r="R24" i="54" s="1"/>
  <c r="P28" i="54"/>
  <c r="R28" i="54" s="1"/>
  <c r="P32" i="54"/>
  <c r="R32" i="54" s="1"/>
  <c r="P36" i="54"/>
  <c r="R36" i="54" s="1"/>
  <c r="P40" i="54"/>
  <c r="R40" i="54" s="1"/>
  <c r="P44" i="54"/>
  <c r="R44" i="54" s="1"/>
  <c r="P48" i="54"/>
  <c r="R48" i="54" s="1"/>
  <c r="P52" i="54"/>
  <c r="R52" i="54" s="1"/>
  <c r="P56" i="54"/>
  <c r="R56" i="54" s="1"/>
  <c r="P60" i="54"/>
  <c r="R60" i="54" s="1"/>
  <c r="O78" i="54"/>
  <c r="N78" i="54"/>
  <c r="P78" i="54" l="1"/>
  <c r="R78" i="54"/>
  <c r="S78" i="54"/>
  <c r="P63" i="47" l="1"/>
  <c r="L62" i="47"/>
  <c r="M62" i="47"/>
  <c r="L54" i="47"/>
  <c r="M54" i="47"/>
  <c r="L55" i="47"/>
  <c r="M55" i="47"/>
  <c r="L56" i="47"/>
  <c r="M56" i="47"/>
  <c r="N56" i="47" s="1"/>
  <c r="P56" i="47" s="1"/>
  <c r="L57" i="47"/>
  <c r="M57" i="47"/>
  <c r="L58" i="47"/>
  <c r="M58" i="47"/>
  <c r="L59" i="47"/>
  <c r="M59" i="47"/>
  <c r="L60" i="47"/>
  <c r="M60" i="47"/>
  <c r="L61" i="47"/>
  <c r="M61" i="47"/>
  <c r="N55" i="47" l="1"/>
  <c r="P55" i="47" s="1"/>
  <c r="N60" i="47"/>
  <c r="P60" i="47" s="1"/>
  <c r="N59" i="47"/>
  <c r="P59" i="47" s="1"/>
  <c r="N61" i="47"/>
  <c r="P61" i="47" s="1"/>
  <c r="N54" i="47"/>
  <c r="P54" i="47" s="1"/>
  <c r="N57" i="47"/>
  <c r="P57" i="47" s="1"/>
  <c r="N58" i="47"/>
  <c r="P58" i="47" s="1"/>
  <c r="N62" i="47"/>
  <c r="P62" i="47" s="1"/>
  <c r="C15" i="52"/>
  <c r="C13" i="52"/>
  <c r="C19" i="52" s="1"/>
  <c r="G3" i="52"/>
  <c r="G4" i="52" s="1"/>
  <c r="G5" i="52" s="1"/>
  <c r="G2" i="52"/>
  <c r="H33" i="24"/>
  <c r="H31" i="24"/>
  <c r="C4" i="52"/>
  <c r="C7" i="52" s="1"/>
  <c r="C14" i="52" s="1"/>
  <c r="J40" i="3" l="1"/>
  <c r="J39" i="3"/>
  <c r="J38" i="3"/>
  <c r="O78" i="47"/>
  <c r="K78" i="47"/>
  <c r="J78" i="47"/>
  <c r="I78" i="47"/>
  <c r="H78" i="47"/>
  <c r="G78" i="47"/>
  <c r="F78" i="47"/>
  <c r="E78" i="47"/>
  <c r="Q77" i="47"/>
  <c r="M53" i="47"/>
  <c r="L53" i="47"/>
  <c r="M52" i="47"/>
  <c r="L52" i="47"/>
  <c r="M51" i="47"/>
  <c r="L51" i="47"/>
  <c r="M50" i="47"/>
  <c r="L50" i="47"/>
  <c r="M49" i="47"/>
  <c r="L49" i="47"/>
  <c r="M48" i="47"/>
  <c r="L48" i="47"/>
  <c r="M47" i="47"/>
  <c r="L47" i="47"/>
  <c r="M46" i="47"/>
  <c r="L46" i="47"/>
  <c r="M45" i="47"/>
  <c r="L45" i="47"/>
  <c r="M44" i="47"/>
  <c r="L44" i="47"/>
  <c r="M43" i="47"/>
  <c r="L43" i="47"/>
  <c r="M42" i="47"/>
  <c r="L42" i="47"/>
  <c r="M41" i="47"/>
  <c r="L41" i="47"/>
  <c r="M40" i="47"/>
  <c r="L40" i="47"/>
  <c r="M39" i="47"/>
  <c r="L39" i="47"/>
  <c r="M38" i="47"/>
  <c r="L38" i="47"/>
  <c r="M37" i="47"/>
  <c r="L37" i="47"/>
  <c r="M36" i="47"/>
  <c r="L36" i="47"/>
  <c r="M35" i="47"/>
  <c r="L35" i="47"/>
  <c r="M34" i="47"/>
  <c r="L34" i="47"/>
  <c r="M33" i="47"/>
  <c r="L33" i="47"/>
  <c r="M32" i="47"/>
  <c r="L32" i="47"/>
  <c r="M31" i="47"/>
  <c r="L31" i="47"/>
  <c r="M30" i="47"/>
  <c r="L30" i="47"/>
  <c r="M29" i="47"/>
  <c r="L29" i="47"/>
  <c r="M28" i="47"/>
  <c r="L28" i="47"/>
  <c r="M27" i="47"/>
  <c r="L27" i="47"/>
  <c r="M26" i="47"/>
  <c r="L26" i="47"/>
  <c r="M25" i="47"/>
  <c r="L25" i="47"/>
  <c r="M24" i="47"/>
  <c r="L24" i="47"/>
  <c r="M23" i="47"/>
  <c r="N23" i="47" s="1"/>
  <c r="P23" i="47" s="1"/>
  <c r="L23" i="47"/>
  <c r="M22" i="47"/>
  <c r="L22" i="47"/>
  <c r="M21" i="47"/>
  <c r="L21" i="47"/>
  <c r="M20" i="47"/>
  <c r="L20" i="47"/>
  <c r="M19" i="47"/>
  <c r="N19" i="47" s="1"/>
  <c r="P19" i="47" s="1"/>
  <c r="L19" i="47"/>
  <c r="M18" i="47"/>
  <c r="L18" i="47"/>
  <c r="M17" i="47"/>
  <c r="L17" i="47"/>
  <c r="M16" i="47"/>
  <c r="L16" i="47"/>
  <c r="M15" i="47"/>
  <c r="L15" i="47"/>
  <c r="A15" i="47"/>
  <c r="A16" i="47" s="1"/>
  <c r="M14" i="47"/>
  <c r="L14" i="47"/>
  <c r="M13" i="47"/>
  <c r="L13" i="47"/>
  <c r="M12" i="47"/>
  <c r="L12" i="47"/>
  <c r="M11" i="47"/>
  <c r="L11" i="47"/>
  <c r="M10" i="47"/>
  <c r="L10" i="47"/>
  <c r="M9" i="47"/>
  <c r="L9" i="47"/>
  <c r="M8" i="47"/>
  <c r="L8" i="47"/>
  <c r="M7" i="47"/>
  <c r="L7" i="47"/>
  <c r="M6" i="47"/>
  <c r="L6" i="47"/>
  <c r="A6" i="47"/>
  <c r="A7" i="47" s="1"/>
  <c r="A8" i="47" s="1"/>
  <c r="A9" i="47" s="1"/>
  <c r="A10" i="47" s="1"/>
  <c r="A11" i="47" s="1"/>
  <c r="A12" i="47" s="1"/>
  <c r="A13" i="47" s="1"/>
  <c r="M5" i="47"/>
  <c r="L5" i="47"/>
  <c r="M4" i="47"/>
  <c r="L4" i="47"/>
  <c r="C4" i="47"/>
  <c r="F2" i="47"/>
  <c r="G2" i="47" s="1"/>
  <c r="H2" i="47" s="1"/>
  <c r="I2" i="47" s="1"/>
  <c r="J2" i="47" s="1"/>
  <c r="N20" i="47" l="1"/>
  <c r="P20" i="47" s="1"/>
  <c r="N28" i="47"/>
  <c r="P28" i="47" s="1"/>
  <c r="N44" i="47"/>
  <c r="P44" i="47" s="1"/>
  <c r="N48" i="47"/>
  <c r="P48" i="47" s="1"/>
  <c r="N51" i="47"/>
  <c r="P51" i="47" s="1"/>
  <c r="N33" i="47"/>
  <c r="P33" i="47" s="1"/>
  <c r="N41" i="47"/>
  <c r="P41" i="47" s="1"/>
  <c r="N39" i="47"/>
  <c r="P39" i="47" s="1"/>
  <c r="N53" i="47"/>
  <c r="P53" i="47" s="1"/>
  <c r="N49" i="47"/>
  <c r="P49" i="47" s="1"/>
  <c r="N45" i="47"/>
  <c r="P45" i="47" s="1"/>
  <c r="N34" i="47"/>
  <c r="P34" i="47" s="1"/>
  <c r="N32" i="47"/>
  <c r="P32" i="47" s="1"/>
  <c r="N31" i="47"/>
  <c r="P31" i="47" s="1"/>
  <c r="N30" i="47"/>
  <c r="P30" i="47" s="1"/>
  <c r="N6" i="47"/>
  <c r="P6" i="47" s="1"/>
  <c r="N29" i="47"/>
  <c r="P29" i="47" s="1"/>
  <c r="N37" i="47"/>
  <c r="P37" i="47" s="1"/>
  <c r="N42" i="47"/>
  <c r="P42" i="47" s="1"/>
  <c r="N46" i="47"/>
  <c r="P46" i="47" s="1"/>
  <c r="N50" i="47"/>
  <c r="P50" i="47" s="1"/>
  <c r="N35" i="47"/>
  <c r="P35" i="47" s="1"/>
  <c r="N43" i="47"/>
  <c r="P43" i="47" s="1"/>
  <c r="N47" i="47"/>
  <c r="P47" i="47" s="1"/>
  <c r="N21" i="47"/>
  <c r="P21" i="47" s="1"/>
  <c r="N15" i="47"/>
  <c r="P15" i="47" s="1"/>
  <c r="N27" i="47"/>
  <c r="P27" i="47" s="1"/>
  <c r="N40" i="47"/>
  <c r="P40" i="47" s="1"/>
  <c r="N9" i="47"/>
  <c r="P9" i="47" s="1"/>
  <c r="N38" i="47"/>
  <c r="P38" i="47" s="1"/>
  <c r="N10" i="47"/>
  <c r="P10" i="47" s="1"/>
  <c r="N7" i="47"/>
  <c r="P7" i="47" s="1"/>
  <c r="N11" i="47"/>
  <c r="P11" i="47" s="1"/>
  <c r="N18" i="47"/>
  <c r="P18" i="47" s="1"/>
  <c r="N22" i="47"/>
  <c r="P22" i="47" s="1"/>
  <c r="N26" i="47"/>
  <c r="P26" i="47" s="1"/>
  <c r="N36" i="47"/>
  <c r="P36" i="47" s="1"/>
  <c r="N52" i="47"/>
  <c r="P52" i="47" s="1"/>
  <c r="N25" i="47"/>
  <c r="P25" i="47" s="1"/>
  <c r="N24" i="47"/>
  <c r="P24" i="47" s="1"/>
  <c r="N17" i="47"/>
  <c r="P17" i="47" s="1"/>
  <c r="N16" i="47"/>
  <c r="P16" i="47" s="1"/>
  <c r="N14" i="47"/>
  <c r="P14" i="47" s="1"/>
  <c r="N13" i="47"/>
  <c r="P13" i="47" s="1"/>
  <c r="N12" i="47"/>
  <c r="P12" i="47" s="1"/>
  <c r="N8" i="47"/>
  <c r="P8" i="47" s="1"/>
  <c r="N5" i="47"/>
  <c r="P5" i="47" s="1"/>
  <c r="L78" i="47"/>
  <c r="M78" i="47"/>
  <c r="N4" i="47"/>
  <c r="P4" i="47" s="1"/>
  <c r="P77" i="47" l="1"/>
  <c r="Q78" i="47" s="1"/>
  <c r="P78" i="47"/>
  <c r="N78" i="47"/>
  <c r="J45" i="3"/>
  <c r="J44" i="3"/>
  <c r="J46" i="3" l="1"/>
  <c r="J43" i="3"/>
  <c r="BA15" i="15"/>
  <c r="BA16" i="15"/>
  <c r="BA17" i="15"/>
  <c r="BA18" i="15"/>
  <c r="BA19" i="15"/>
  <c r="BA20" i="15"/>
  <c r="BA8" i="15"/>
  <c r="BA9" i="15"/>
  <c r="BA10" i="15"/>
  <c r="BA11" i="15"/>
  <c r="BA12" i="15"/>
  <c r="BA13" i="15"/>
  <c r="BA14" i="15"/>
  <c r="BA7" i="15"/>
  <c r="BC23" i="15"/>
  <c r="BC24" i="15"/>
  <c r="BC25" i="15"/>
  <c r="BC26" i="15"/>
  <c r="BC22" i="15"/>
  <c r="BB22" i="15"/>
  <c r="BB23" i="15"/>
  <c r="BB24" i="15"/>
  <c r="BB25" i="15"/>
  <c r="BB26" i="15"/>
  <c r="BB28" i="15"/>
  <c r="BC28" i="15" s="1"/>
  <c r="BB29" i="15"/>
  <c r="BC29" i="15" s="1"/>
  <c r="BB30" i="15"/>
  <c r="BC30" i="15" s="1"/>
  <c r="AP22" i="15"/>
  <c r="AQ22" i="15"/>
  <c r="AR22" i="15"/>
  <c r="AU22" i="15"/>
  <c r="AV22" i="15"/>
  <c r="AW22" i="15"/>
  <c r="AP23" i="15"/>
  <c r="AQ23" i="15"/>
  <c r="AR23" i="15"/>
  <c r="AU23" i="15"/>
  <c r="AV23" i="15"/>
  <c r="AW23" i="15"/>
  <c r="AP24" i="15"/>
  <c r="AQ24" i="15"/>
  <c r="AR24" i="15"/>
  <c r="AU24" i="15"/>
  <c r="AV24" i="15"/>
  <c r="AW24" i="15"/>
  <c r="AP25" i="15"/>
  <c r="AQ25" i="15"/>
  <c r="AR25" i="15"/>
  <c r="AU25" i="15"/>
  <c r="AV25" i="15"/>
  <c r="AW25" i="15"/>
  <c r="AP26" i="15"/>
  <c r="AQ26" i="15"/>
  <c r="AR26" i="15"/>
  <c r="AU26" i="15"/>
  <c r="AV26" i="15"/>
  <c r="AW26" i="15"/>
  <c r="AP27" i="15"/>
  <c r="AQ27" i="15"/>
  <c r="BB27" i="15"/>
  <c r="BC27" i="15" s="1"/>
  <c r="AP28" i="15"/>
  <c r="AQ28" i="15"/>
  <c r="AQ29" i="15"/>
  <c r="AQ30" i="15"/>
  <c r="AO23" i="15"/>
  <c r="AO24" i="15"/>
  <c r="AO25" i="15"/>
  <c r="AO26" i="15"/>
  <c r="AO27" i="15"/>
  <c r="AO28" i="15"/>
  <c r="AO29" i="15"/>
  <c r="AO30" i="15"/>
  <c r="AO22" i="15"/>
  <c r="J37" i="3"/>
  <c r="J36" i="3"/>
  <c r="J35" i="3"/>
  <c r="J34" i="3"/>
  <c r="J33" i="3"/>
  <c r="H34" i="3"/>
  <c r="H35" i="3" s="1"/>
  <c r="H36" i="3" s="1"/>
  <c r="H37" i="3" s="1"/>
  <c r="H38" i="3" s="1"/>
  <c r="H33" i="3"/>
  <c r="J32" i="3"/>
  <c r="J31" i="3"/>
  <c r="BC39" i="15" l="1"/>
  <c r="BB39" i="15"/>
  <c r="J41" i="3" l="1"/>
  <c r="J42" i="3"/>
  <c r="J30" i="3" l="1"/>
  <c r="J28" i="3"/>
  <c r="J29" i="3" l="1"/>
  <c r="J27" i="3" l="1"/>
  <c r="H8" i="24" l="1"/>
  <c r="H34" i="24" s="1"/>
  <c r="J26" i="3"/>
  <c r="J25" i="3" l="1"/>
  <c r="J24" i="3"/>
  <c r="J23" i="3"/>
  <c r="J22" i="3"/>
  <c r="J20" i="3" l="1"/>
  <c r="BB21" i="15"/>
  <c r="BC21" i="15" s="1"/>
  <c r="BB7" i="15"/>
  <c r="BC7" i="15" s="1"/>
  <c r="BB8" i="15"/>
  <c r="BC8" i="15" s="1"/>
  <c r="BB9" i="15"/>
  <c r="BC9" i="15" s="1"/>
  <c r="BB10" i="15"/>
  <c r="BC10" i="15" s="1"/>
  <c r="BB11" i="15"/>
  <c r="BC11" i="15" s="1"/>
  <c r="BB12" i="15"/>
  <c r="BC12" i="15" s="1"/>
  <c r="BB13" i="15"/>
  <c r="BC13" i="15" s="1"/>
  <c r="BB14" i="15"/>
  <c r="BC14" i="15" s="1"/>
  <c r="BB15" i="15"/>
  <c r="BC15" i="15" s="1"/>
  <c r="BB16" i="15"/>
  <c r="BC16" i="15" s="1"/>
  <c r="BB17" i="15"/>
  <c r="BC17" i="15" s="1"/>
  <c r="BB18" i="15"/>
  <c r="BC18" i="15" s="1"/>
  <c r="BB19" i="15"/>
  <c r="BC19" i="15" s="1"/>
  <c r="BB20" i="15"/>
  <c r="BC20" i="15" s="1"/>
  <c r="BB5" i="15"/>
  <c r="BC5" i="15" s="1"/>
  <c r="AN4" i="15"/>
  <c r="AM4" i="15"/>
  <c r="AL4" i="15"/>
  <c r="AK4" i="15"/>
  <c r="AJ4" i="15"/>
  <c r="AI4" i="15"/>
  <c r="AH4" i="15"/>
  <c r="AG4" i="15"/>
  <c r="AF4" i="15"/>
  <c r="AE4" i="15"/>
  <c r="AD4" i="15"/>
  <c r="AC4" i="15"/>
  <c r="AB4" i="15"/>
  <c r="P284" i="3"/>
  <c r="BB6" i="15"/>
  <c r="BC6" i="15" s="1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P4" i="15"/>
  <c r="AQ4" i="15"/>
  <c r="AR4" i="15"/>
  <c r="AS4" i="15"/>
  <c r="AT4" i="15"/>
  <c r="AU4" i="15"/>
  <c r="AV4" i="15"/>
  <c r="AW4" i="15"/>
  <c r="AX4" i="15"/>
  <c r="AY4" i="15"/>
  <c r="AZ4" i="15"/>
  <c r="BA4" i="15"/>
  <c r="A4" i="15"/>
  <c r="J18" i="3"/>
  <c r="B12" i="14"/>
  <c r="B11" i="14"/>
  <c r="B10" i="14"/>
  <c r="B9" i="14"/>
  <c r="B8" i="14"/>
  <c r="B7" i="14"/>
  <c r="B6" i="14"/>
  <c r="B5" i="14"/>
  <c r="B4" i="14"/>
  <c r="B3" i="14"/>
  <c r="D34" i="3"/>
  <c r="BC4" i="15" l="1"/>
  <c r="J21" i="3"/>
  <c r="BB4" i="15"/>
  <c r="AO4" i="15"/>
  <c r="J19" i="3" l="1"/>
  <c r="D31" i="3" l="1"/>
  <c r="D32" i="3"/>
  <c r="P285" i="3" l="1"/>
  <c r="J16" i="3"/>
  <c r="J15" i="3" l="1"/>
  <c r="J14" i="3"/>
  <c r="J12" i="3" l="1"/>
  <c r="J17" i="3" l="1"/>
  <c r="J10" i="3"/>
  <c r="J11" i="3"/>
  <c r="E11" i="3"/>
  <c r="J13" i="3" l="1"/>
  <c r="J254" i="3" s="1"/>
  <c r="C3" i="24" l="1"/>
  <c r="D7" i="3" l="1"/>
  <c r="D254" i="3" s="1"/>
  <c r="P28" i="3"/>
  <c r="C4" i="24" s="1"/>
  <c r="C5" i="24" l="1"/>
  <c r="C34" i="24" s="1"/>
  <c r="H37" i="24" s="1"/>
  <c r="I285" i="3" l="1"/>
</calcChain>
</file>

<file path=xl/comments1.xml><?xml version="1.0" encoding="utf-8"?>
<comments xmlns="http://schemas.openxmlformats.org/spreadsheetml/2006/main">
  <authors>
    <author>Lenovo</author>
  </authors>
  <commentList>
    <comment ref="C4" authorId="0" shapeId="0">
      <text>
        <r>
          <rPr>
            <b/>
            <sz val="9"/>
            <color indexed="81"/>
            <rFont val="Tahoma"/>
            <family val="2"/>
          </rPr>
          <t xml:space="preserve">Công theo bảng của Sáu: 249.785.000
Công từ 28.12 đến 11.2
- </t>
        </r>
        <r>
          <rPr>
            <sz val="9"/>
            <color indexed="81"/>
            <rFont val="Tahoma"/>
            <family val="2"/>
          </rPr>
          <t xml:space="preserve">28.12.2025 đến 03.01.2026: </t>
        </r>
        <r>
          <rPr>
            <b/>
            <sz val="9"/>
            <color indexed="81"/>
            <rFont val="Tahoma"/>
            <family val="2"/>
          </rPr>
          <t xml:space="preserve">10.130.000
- </t>
        </r>
        <r>
          <rPr>
            <sz val="9"/>
            <color indexed="81"/>
            <rFont val="Tahoma"/>
            <family val="2"/>
          </rPr>
          <t xml:space="preserve">04.01.2026 đến 10.01.2026:  </t>
        </r>
        <r>
          <rPr>
            <b/>
            <sz val="9"/>
            <color indexed="81"/>
            <rFont val="Tahoma"/>
            <family val="2"/>
          </rPr>
          <t xml:space="preserve">9.930.000
- </t>
        </r>
        <r>
          <rPr>
            <sz val="9"/>
            <color indexed="81"/>
            <rFont val="Tahoma"/>
            <family val="2"/>
          </rPr>
          <t xml:space="preserve">11.01.2026 đến 17.01.2026:  </t>
        </r>
        <r>
          <rPr>
            <b/>
            <sz val="9"/>
            <color indexed="81"/>
            <rFont val="Tahoma"/>
            <family val="2"/>
          </rPr>
          <t>8.220.000</t>
        </r>
        <r>
          <rPr>
            <sz val="9"/>
            <color indexed="81"/>
            <rFont val="Tahoma"/>
            <family val="2"/>
          </rPr>
          <t xml:space="preserve">
- 18.01.2026 đến 24.01.2026:  </t>
        </r>
        <r>
          <rPr>
            <b/>
            <sz val="9"/>
            <color indexed="81"/>
            <rFont val="Tahoma"/>
            <family val="2"/>
          </rPr>
          <t>9.420.000</t>
        </r>
        <r>
          <rPr>
            <sz val="9"/>
            <color indexed="81"/>
            <rFont val="Tahoma"/>
            <family val="2"/>
          </rPr>
          <t xml:space="preserve">
- 25.10.2026 đến 31.01.2026: </t>
        </r>
        <r>
          <rPr>
            <b/>
            <sz val="9"/>
            <color indexed="81"/>
            <rFont val="Tahoma"/>
            <family val="2"/>
          </rPr>
          <t>13.490.000</t>
        </r>
        <r>
          <rPr>
            <sz val="9"/>
            <color indexed="81"/>
            <rFont val="Tahoma"/>
            <family val="2"/>
          </rPr>
          <t xml:space="preserve">
- 01.02.2026 đến 12.02.2026: </t>
        </r>
        <r>
          <rPr>
            <b/>
            <sz val="9"/>
            <color indexed="81"/>
            <rFont val="Tahoma"/>
            <family val="2"/>
          </rPr>
          <t>12.000.000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<sst xmlns="http://schemas.openxmlformats.org/spreadsheetml/2006/main" count="7896" uniqueCount="420">
  <si>
    <t>STT</t>
  </si>
  <si>
    <t>HỌ TÊN</t>
  </si>
  <si>
    <t>A Lâm</t>
  </si>
  <si>
    <t>A Hữu</t>
  </si>
  <si>
    <t>Thợ</t>
  </si>
  <si>
    <t>Phụ</t>
  </si>
  <si>
    <t>Đủ công</t>
  </si>
  <si>
    <t>Nửa công</t>
  </si>
  <si>
    <t>x/2</t>
  </si>
  <si>
    <t>x</t>
  </si>
  <si>
    <t>Nôị dung</t>
  </si>
  <si>
    <t>Ngày tháng</t>
  </si>
  <si>
    <t>Số tiền</t>
  </si>
  <si>
    <t>A Lâm ứng mua đồ</t>
  </si>
  <si>
    <t>Ghi chú</t>
  </si>
  <si>
    <t>Tiền mặt</t>
  </si>
  <si>
    <t>A Lâm ứng trả công</t>
  </si>
  <si>
    <t>Thợ ép</t>
  </si>
  <si>
    <t>CK</t>
  </si>
  <si>
    <t>A LÂM</t>
  </si>
  <si>
    <t>A HỮU</t>
  </si>
  <si>
    <t>ứng mua đồ</t>
  </si>
  <si>
    <t>MUA VẬT TƯ, THIẾT BỊ</t>
  </si>
  <si>
    <t>Mua cối trộn + 2 xe rùa</t>
  </si>
  <si>
    <t>Cọc và thuê dàn giáo</t>
  </si>
  <si>
    <t>Mua Tời</t>
  </si>
  <si>
    <t>Mua thép lắp dàn tời</t>
  </si>
  <si>
    <t>Tổng</t>
  </si>
  <si>
    <t>Mua mủ bảo hộ</t>
  </si>
  <si>
    <t>Mua Cối + xe rùa + các thiết bị củ</t>
  </si>
  <si>
    <t>Lương/ngày</t>
  </si>
  <si>
    <t>a LÂm</t>
  </si>
  <si>
    <t>Mua vật tư, thiết bị</t>
  </si>
  <si>
    <t>Tổng lương</t>
  </si>
  <si>
    <t>Nguyễn Văn Phong</t>
  </si>
  <si>
    <t>Mai Văn Đời</t>
  </si>
  <si>
    <t>Nguyễn Tấn Tài</t>
  </si>
  <si>
    <t>Nguyễn Văn Đấu</t>
  </si>
  <si>
    <t>Huỳnh Thanh Tùng</t>
  </si>
  <si>
    <t>Trả công CN a Hữu</t>
  </si>
  <si>
    <t>Mua Vt thi công</t>
  </si>
  <si>
    <t>Huỳnh Chí Linh</t>
  </si>
  <si>
    <t>Nguyễn Tấn Lợi</t>
  </si>
  <si>
    <t>Mai Văn Bảy</t>
  </si>
  <si>
    <t>Nguyễn Tấn Hùng</t>
  </si>
  <si>
    <t>Lê Việt Đa</t>
  </si>
  <si>
    <t>Nguyễn Công Thức</t>
  </si>
  <si>
    <t>Nguyễn Văn Yêm</t>
  </si>
  <si>
    <t>Mua Dây đai an toàn</t>
  </si>
  <si>
    <t>Mua Vt thi công (15-21.06)</t>
  </si>
  <si>
    <t>Thuê dàn giáo 15 ngày (40 bộ)</t>
  </si>
  <si>
    <t xml:space="preserve">đội Đăng ứng mua VL </t>
  </si>
  <si>
    <t>Đăng ứng trả công</t>
  </si>
  <si>
    <t>Mua máy khoan bê tông (pin)</t>
  </si>
  <si>
    <t>Ứng</t>
  </si>
  <si>
    <t>TT lần 1</t>
  </si>
  <si>
    <t>TT Lần 2</t>
  </si>
  <si>
    <t>Mua len</t>
  </si>
  <si>
    <t>Thuê xe chuyển thiết bị</t>
  </si>
  <si>
    <t>Trương Văn Thông</t>
  </si>
  <si>
    <t>Có CCCD gửi cty Hưng Long</t>
  </si>
  <si>
    <t>Nguyễn Thanh Tùng</t>
  </si>
  <si>
    <t>Nguyễn Văn Mười</t>
  </si>
  <si>
    <t>Phạm Văn Kiệt</t>
  </si>
  <si>
    <t>Võ Hoàng Nam</t>
  </si>
  <si>
    <t>Trần Thanh Sơn</t>
  </si>
  <si>
    <t>Mua VT thi công (đinh, mũi khoan, dây cororoa, lưới mắt cáo…)</t>
  </si>
  <si>
    <t>Mua láy laze</t>
  </si>
  <si>
    <t>TT Lần 3</t>
  </si>
  <si>
    <t>A Lâm mua VT thi công</t>
  </si>
  <si>
    <t>Mua 50m ống dẻo D27</t>
  </si>
  <si>
    <t>Mua 20 mũ bảo hộ, 2 ổ cắm 6</t>
  </si>
  <si>
    <t>Mua 2kg dây + thay ruộc 3 xe rùa</t>
  </si>
  <si>
    <t>Mua mủi khoan bê tông ,khoan thép lắp tời</t>
  </si>
  <si>
    <t>Bù thêm tiền mua 40 bộ dàn giáo</t>
  </si>
  <si>
    <t>Mua dàn tời + motor tời</t>
  </si>
  <si>
    <t>Mua kẻm hộp, dây tời, ròng rọc, sơn xịt</t>
  </si>
  <si>
    <t>4 lưởi cắt sắt D35cm</t>
  </si>
  <si>
    <t xml:space="preserve">1 ổ cắm 6 + 1 chuôi cắm </t>
  </si>
  <si>
    <t>GHI CHÚ</t>
  </si>
  <si>
    <t>Có hình CCCD</t>
  </si>
  <si>
    <t>Trục 5</t>
  </si>
  <si>
    <t>Sân sau</t>
  </si>
  <si>
    <t>Trục 1</t>
  </si>
  <si>
    <t>Trục A - B T1</t>
  </si>
  <si>
    <t>Trục A - B T2,3</t>
  </si>
  <si>
    <t>Sân phơi</t>
  </si>
  <si>
    <t>Trục 4</t>
  </si>
  <si>
    <t>Trục A - B áp mái</t>
  </si>
  <si>
    <t>Tum+mái</t>
  </si>
  <si>
    <t>Nội dung</t>
  </si>
  <si>
    <t>Khối lượng</t>
  </si>
  <si>
    <t>KHỐI LƯỢNG XÂY 1 CĂN SHOPHOUSE</t>
  </si>
  <si>
    <t>CN</t>
  </si>
  <si>
    <t>T2</t>
  </si>
  <si>
    <t>T3</t>
  </si>
  <si>
    <t>T5</t>
  </si>
  <si>
    <t>T4</t>
  </si>
  <si>
    <t>T6</t>
  </si>
  <si>
    <t>T7</t>
  </si>
  <si>
    <t>Phí chuyển gạch lên Tầng 2</t>
  </si>
  <si>
    <t>Mua 2 máng trộn hồ</t>
  </si>
  <si>
    <t>Mua 10 mủi khoan +2 cây len</t>
  </si>
  <si>
    <t>NC15</t>
  </si>
  <si>
    <t>NC19</t>
  </si>
  <si>
    <t>NC15-18</t>
  </si>
  <si>
    <t>NC15-19</t>
  </si>
  <si>
    <t>Hàng rào</t>
  </si>
  <si>
    <t>Xây T1</t>
  </si>
  <si>
    <t>Xây T2</t>
  </si>
  <si>
    <t>Xây T3</t>
  </si>
  <si>
    <t>Xây T4</t>
  </si>
  <si>
    <t>Xây Tum</t>
  </si>
  <si>
    <t>Tô T1</t>
  </si>
  <si>
    <t>Tô T2</t>
  </si>
  <si>
    <t>Tô T3</t>
  </si>
  <si>
    <t>Tô T4</t>
  </si>
  <si>
    <t>Tô tầng mái</t>
  </si>
  <si>
    <t>Mặt trước</t>
  </si>
  <si>
    <t>KHỐI LƯỢNG ĐƯỢC GIAO</t>
  </si>
  <si>
    <t>KHỐI LƯỢNG HOÀN THÀNH</t>
  </si>
  <si>
    <t>KHỐI LƯỢNG ĐÃ THANH TOÁN</t>
  </si>
  <si>
    <t>SỐ LÔ</t>
  </si>
  <si>
    <t>SỐ CĂN</t>
  </si>
  <si>
    <t>Vệ sinh</t>
  </si>
  <si>
    <t>Còn  lại</t>
  </si>
  <si>
    <t>Đinh Văn Thống</t>
  </si>
  <si>
    <t>Ký nhận</t>
  </si>
  <si>
    <t>ĐT</t>
  </si>
  <si>
    <t>Mua 4 máng hồ + 4 thùng hồ nhỏ</t>
  </si>
  <si>
    <t>Mua dụng cu thi công (nhà chú Điều</t>
  </si>
  <si>
    <t>Mua máy đục BT (nhà chú Điều</t>
  </si>
  <si>
    <t>Mua dụng cu thi công</t>
  </si>
  <si>
    <t>Mua thép hộp làm vận thăng</t>
  </si>
  <si>
    <t>Mua dây điện +VT phụ khác (nhà chú Điều)</t>
  </si>
  <si>
    <t>Mua dụng cu thi công (nhà chú Điều)</t>
  </si>
  <si>
    <t>Phí chuyển 16 kiện gạch lên Tầng 2</t>
  </si>
  <si>
    <t>CK 2 lần</t>
  </si>
  <si>
    <t>Mua cuộn ống dẻo (nhà chú Điều)</t>
  </si>
  <si>
    <t>Mua 100 lưởi cắt sắt (nhà chú Điều</t>
  </si>
  <si>
    <t>Đơn hàng cô quyên (nhà chú Điều</t>
  </si>
  <si>
    <t>TT Lần 4</t>
  </si>
  <si>
    <t>XÁC NHẬN KHỐI LƯỢNG</t>
  </si>
  <si>
    <t>Lê Vũ Linh</t>
  </si>
  <si>
    <t>Nguyễn Thị Cười</t>
  </si>
  <si>
    <t xml:space="preserve">Nguyễn Hoàng Vũ </t>
  </si>
  <si>
    <t>Tiền mặt + CK 25tr</t>
  </si>
  <si>
    <t>NC19-28</t>
  </si>
  <si>
    <t>NC19-27</t>
  </si>
  <si>
    <t>NC19-26</t>
  </si>
  <si>
    <t>NC19-25</t>
  </si>
  <si>
    <t>NC19-24</t>
  </si>
  <si>
    <t>NC19-23</t>
  </si>
  <si>
    <t>NC19-22</t>
  </si>
  <si>
    <t>NC19-15</t>
  </si>
  <si>
    <t>NC19-14</t>
  </si>
  <si>
    <t>NC19-13</t>
  </si>
  <si>
    <t>NC19-12</t>
  </si>
  <si>
    <t>NC19-11</t>
  </si>
  <si>
    <t>NC19-10</t>
  </si>
  <si>
    <t>NC19-08</t>
  </si>
  <si>
    <t>NC19-09</t>
  </si>
  <si>
    <t>TT Lần 5</t>
  </si>
  <si>
    <t xml:space="preserve"> </t>
  </si>
  <si>
    <t>Huỳnh Thanh Xuân</t>
  </si>
  <si>
    <t>Tiền mặt + CK 50tr</t>
  </si>
  <si>
    <t>Mua 4 thép V30</t>
  </si>
  <si>
    <t xml:space="preserve">Mua 8 bánh xe </t>
  </si>
  <si>
    <t>Mua 20 bộ giàn dáo củ + công nhờ thợ đội a Nhân khoan cấy rầu tường (lóc 7 căn)</t>
  </si>
  <si>
    <t>Ck a Lâm mua vật tư thi công (đinh + mũi khoan, thùng hồ, dây căn xây tường …)</t>
  </si>
  <si>
    <t>Mua 40m2 cao su (2 cuộn, tittok shop)</t>
  </si>
  <si>
    <t>Lâm Hữu Phước</t>
  </si>
  <si>
    <t>Nguyễn Văn Phao</t>
  </si>
  <si>
    <t>Nhà chú Điều</t>
  </si>
  <si>
    <t>Mua 4 dụng cụ hút nâng gạch (tiktok shop)</t>
  </si>
  <si>
    <t>Mua dụng cụ ke cắt góc gạch (tiktok shop)</t>
  </si>
  <si>
    <t xml:space="preserve">Mua 3 thép V30 </t>
  </si>
  <si>
    <t>……. (stiktok shop)</t>
  </si>
  <si>
    <t>A Lâm mua dụng cụ thi công (thùng hồ, vít, đinh…)</t>
  </si>
  <si>
    <t>Phí xe chuyển đồ thi công + mua 10 lít nhớt</t>
  </si>
  <si>
    <t>Mua 6 thép V30</t>
  </si>
  <si>
    <t>……. (tiktok shop)</t>
  </si>
  <si>
    <t>Mua 50 bút long (tiktok shop)</t>
  </si>
  <si>
    <t>Mua dụng cụ cạo ron gạch (tiktok shop)</t>
  </si>
  <si>
    <t>TT Lần 7</t>
  </si>
  <si>
    <t>Sáu gửi tiền mặt</t>
  </si>
  <si>
    <t>Nguyễn Văn Đa</t>
  </si>
  <si>
    <t>Mua đinh + cưa</t>
  </si>
  <si>
    <t>mua lưởi mài (tt shop)</t>
  </si>
  <si>
    <t>Mua máy bắn đinh (tt shop)</t>
  </si>
  <si>
    <t>mua thước hộp (tt shop)</t>
  </si>
  <si>
    <t>Mua lưới bảo vệ  công trình</t>
  </si>
  <si>
    <t>Mua 10 mâm giàn dáo</t>
  </si>
  <si>
    <t>Mua 6 mâm giàn dáo</t>
  </si>
  <si>
    <t>Lâm Kỳ Phi</t>
  </si>
  <si>
    <t>TT Lần 6</t>
  </si>
  <si>
    <t>TT Lần 8</t>
  </si>
  <si>
    <t>Mua VT (Đinh + Lưới tô tường)</t>
  </si>
  <si>
    <t>Mua VT (tt Shop)</t>
  </si>
  <si>
    <t>Mua 2 bàn cào vữa (tt Shop)</t>
  </si>
  <si>
    <t>Mua 4 thùng bê</t>
  </si>
  <si>
    <t>Mua VT</t>
  </si>
  <si>
    <t>Mua bàn cắt gạch 1m2 (tt shop</t>
  </si>
  <si>
    <t>Mua VT (tt shop)</t>
  </si>
  <si>
    <t>(CK 2tr)</t>
  </si>
  <si>
    <t>Chú Điều</t>
  </si>
  <si>
    <t>A Lâm mua ke lát 5 bịch ke ốp lát gạch</t>
  </si>
  <si>
    <t>Bù tiền a Linh mua VT nhà chú Điều</t>
  </si>
  <si>
    <t>PHẦN CHI RA</t>
  </si>
  <si>
    <t>PHẦN THU VÀO</t>
  </si>
  <si>
    <t>A Lâm ứng mua đồ (dây tời, thùng bê…)</t>
  </si>
  <si>
    <t>4 bánh xe (tt sgop)</t>
  </si>
  <si>
    <t>20 mũi khoan bê tông</t>
  </si>
  <si>
    <t>Đặt khuôn chỉ vòm shophouse</t>
  </si>
  <si>
    <t>Mua máy rung ốp lát gạch</t>
  </si>
  <si>
    <t>Cây xủi + dao</t>
  </si>
  <si>
    <t>5 lưởi cắt sắt + chỏi</t>
  </si>
  <si>
    <t>VT thi công (tt sgop)</t>
  </si>
  <si>
    <t xml:space="preserve">Sáu rút </t>
  </si>
  <si>
    <t>TT Lần 9</t>
  </si>
  <si>
    <t>Trần Thanh Phong</t>
  </si>
  <si>
    <t>Trịnh Văn Phước</t>
  </si>
  <si>
    <t>Nguyễn Văn Liễu</t>
  </si>
  <si>
    <t>Nguyễn Quốc Thiện</t>
  </si>
  <si>
    <t>Nguyễn Văn Cường</t>
  </si>
  <si>
    <t>Nguyễn Thu Mè</t>
  </si>
  <si>
    <t>Nguyễn Văn Chờ</t>
  </si>
  <si>
    <t>TT Lần 10</t>
  </si>
  <si>
    <t>TT Lần 11</t>
  </si>
  <si>
    <t>Nguyễn Văn Châu</t>
  </si>
  <si>
    <t>Lê Quốc Thịnh</t>
  </si>
  <si>
    <t>Lê Văn Xết</t>
  </si>
  <si>
    <t>Nguyễn Văn Thiệt</t>
  </si>
  <si>
    <t>Huỳnh Văn Lý</t>
  </si>
  <si>
    <t>Mua máy XD</t>
  </si>
  <si>
    <t>Nguyễn Văn Bình</t>
  </si>
  <si>
    <t>Trần Văn Kỳ</t>
  </si>
  <si>
    <t>Tạ Thị Mỵ</t>
  </si>
  <si>
    <t>Lê Văn Khải</t>
  </si>
  <si>
    <t>Vương Thị Lý</t>
  </si>
  <si>
    <t>Lê Thanh Sáng</t>
  </si>
  <si>
    <t>Nguyễn Văn Sa</t>
  </si>
  <si>
    <t>Trần Thị Thu</t>
  </si>
  <si>
    <t>Ngô Văn Giỏi</t>
  </si>
  <si>
    <t>Sửa máy kẹp lưởi cưa</t>
  </si>
  <si>
    <t>Sửa máy khoan, máy cắt cầm tay</t>
  </si>
  <si>
    <t>Mua thép hộp, tấm kẻm (đóng khuôn chỉ)</t>
  </si>
  <si>
    <t>Mua 30 lít nhớt</t>
  </si>
  <si>
    <t>Trả tiền tô 60m tường cho đội Linh</t>
  </si>
  <si>
    <t>Mua thước thi công</t>
  </si>
  <si>
    <t>chuyển đồ thi công Vietinbank Giá Rai</t>
  </si>
  <si>
    <t>Mua vật tư thi công</t>
  </si>
  <si>
    <t>Mua máy cưa bàn</t>
  </si>
  <si>
    <t>Mua máy khoan + máy cắt</t>
  </si>
  <si>
    <t>Mua lưởi cưa + VL khác</t>
  </si>
  <si>
    <t>Tiền cfe anh em thi công</t>
  </si>
  <si>
    <t>Tiền thuê xe nâng chở đồ</t>
  </si>
  <si>
    <t>Thuê xe nâng gạch</t>
  </si>
  <si>
    <t>Mua ván thi công</t>
  </si>
  <si>
    <t>Thuê xe chuyển đồ</t>
  </si>
  <si>
    <t>Mua xe chở đồ</t>
  </si>
  <si>
    <t xml:space="preserve">Đặt cọc xe </t>
  </si>
  <si>
    <t>Tiền nước lộc cho đội thi công</t>
  </si>
  <si>
    <t>Máy lazer</t>
  </si>
  <si>
    <t>Bàn cắt gạch 1m8</t>
  </si>
  <si>
    <t>4 xe rùa</t>
  </si>
  <si>
    <t>Bàn ban vữa gạch</t>
  </si>
  <si>
    <t>Mua dây điện</t>
  </si>
  <si>
    <t xml:space="preserve">Tiền mặt + CK </t>
  </si>
  <si>
    <t>TT Lần 12</t>
  </si>
  <si>
    <t>TT Lần 13</t>
  </si>
  <si>
    <t>TT Lần 14</t>
  </si>
  <si>
    <t>TT Lần 15</t>
  </si>
  <si>
    <t>TT Lần 16</t>
  </si>
  <si>
    <t>Phí ăn nhậu</t>
  </si>
  <si>
    <t>tiền mặt</t>
  </si>
  <si>
    <t>Gửi a Linh 1 tr mua đồ</t>
  </si>
  <si>
    <t>NC22</t>
  </si>
  <si>
    <t>NC22-24</t>
  </si>
  <si>
    <t>NC22-25</t>
  </si>
  <si>
    <t>NC22-26</t>
  </si>
  <si>
    <t>NC22-27</t>
  </si>
  <si>
    <t>NC22-28</t>
  </si>
  <si>
    <t>NC22-29</t>
  </si>
  <si>
    <t>NC22-30</t>
  </si>
  <si>
    <t>NC22-31</t>
  </si>
  <si>
    <t>NC22-32</t>
  </si>
  <si>
    <t>Hồ Thanh Giãn</t>
  </si>
  <si>
    <t>Đỗ Ngọc Thảo</t>
  </si>
  <si>
    <t>Phạm Tấn Phong</t>
  </si>
  <si>
    <t>Nguyễn Hồng Lẹ</t>
  </si>
  <si>
    <t>Cao Nhựt Khanh</t>
  </si>
  <si>
    <t>TT Lần 17</t>
  </si>
  <si>
    <t>TT Lần 18</t>
  </si>
  <si>
    <t>TT Lần 19</t>
  </si>
  <si>
    <t>Lê Trọng Thật</t>
  </si>
  <si>
    <t>Nguyễn Thị Lệ</t>
  </si>
  <si>
    <t>Nguyễn Văn Mừng</t>
  </si>
  <si>
    <t>Lê Hữu Minh</t>
  </si>
  <si>
    <t>ck</t>
  </si>
  <si>
    <t>Phí thuê khuôn (đội Vũ)</t>
  </si>
  <si>
    <t>Thuê xe nâng chuyển đồ thi công</t>
  </si>
  <si>
    <t>Thuê xe chuyển đồ (nhà c Điều sang happy home</t>
  </si>
  <si>
    <t>Nước uống</t>
  </si>
  <si>
    <t>Sửa máy đục</t>
  </si>
  <si>
    <t>Mua vật tư thi công (nhà chú Điều)</t>
  </si>
  <si>
    <t>sửa máy tời</t>
  </si>
  <si>
    <t>Mua ván</t>
  </si>
  <si>
    <t>TT vận chuyển</t>
  </si>
  <si>
    <t>Mua máy thi công (máy cắt)</t>
  </si>
  <si>
    <t>Nước uông ( nước lộc 18l, cộng dồn 1 tháng)</t>
  </si>
  <si>
    <t>Nước đá (mỗi ngày 20k)</t>
  </si>
  <si>
    <t>Mua máy hàn</t>
  </si>
  <si>
    <t>Thuê xe chuyển đồ (Vietinbank Giá Rai về CM)</t>
  </si>
  <si>
    <t>Mua vật tư thi công…</t>
  </si>
  <si>
    <t>Sửa máy tời</t>
  </si>
  <si>
    <t>Phí chuyển 30 kiện gạch vào trong (căn khách sạn)</t>
  </si>
  <si>
    <t xml:space="preserve">Phí chuyển 26 kiện gạch </t>
  </si>
  <si>
    <t>BẢNG TỔNG HỢP CHI PHÍ NHÂN CÔNG ĐẾN HẾT TẾT 2025</t>
  </si>
  <si>
    <t>Stt</t>
  </si>
  <si>
    <t>Tổng công</t>
  </si>
  <si>
    <t>Vietinbank Giá Rai</t>
  </si>
  <si>
    <t>Khách sạn Happy Home</t>
  </si>
  <si>
    <t>Tạm tính</t>
  </si>
  <si>
    <t>Bảng tính của Sáu (đến 27.12.2025) và của Minh (từ 28.12.2025 đến nghỉ tết)</t>
  </si>
  <si>
    <t>Shophouse (33 căn)</t>
  </si>
  <si>
    <t>Đã chi trả đủ đến nghỉ tết</t>
  </si>
  <si>
    <t>TT Lần 20</t>
  </si>
  <si>
    <t>TT Lần 21</t>
  </si>
  <si>
    <t>TT Lần 22</t>
  </si>
  <si>
    <t>TT Lần 23</t>
  </si>
  <si>
    <t>125tr -40tr Sơn</t>
  </si>
  <si>
    <t>224tr-40tr Sơn</t>
  </si>
  <si>
    <t>320tr -30tr Sơn</t>
  </si>
  <si>
    <t>Rút từ TK Cty</t>
  </si>
  <si>
    <t>(1 lần 50tr và 1 lần 17tr)</t>
  </si>
  <si>
    <t>NC16</t>
  </si>
  <si>
    <t>NC16-12</t>
  </si>
  <si>
    <t>NC16-13</t>
  </si>
  <si>
    <t>NC16-14</t>
  </si>
  <si>
    <t>NC16-15</t>
  </si>
  <si>
    <t>NC16-16</t>
  </si>
  <si>
    <t>NC16-17</t>
  </si>
  <si>
    <t>85000000*26</t>
  </si>
  <si>
    <t>80200000*7</t>
  </si>
  <si>
    <r>
      <rPr>
        <i/>
        <sz val="12"/>
        <color theme="1"/>
        <rFont val="Times New Roman"/>
        <family val="1"/>
      </rPr>
      <t xml:space="preserve">Ghi chú: Phần bên Happyhome có 26 căn giá 85 tr, 7 căn giá 80.tr. Tổng đã thu về </t>
    </r>
    <r>
      <rPr>
        <b/>
        <i/>
        <sz val="12"/>
        <color rgb="FFFF0000"/>
        <rFont val="Times New Roman"/>
        <family val="1"/>
      </rPr>
      <t>2.610.000.000</t>
    </r>
  </si>
  <si>
    <t>BẢNG TÍNH LỜI LỖ - HAPPYHOME</t>
  </si>
  <si>
    <t>Tổng thu</t>
  </si>
  <si>
    <t>33 căn shophouse + 80tr thanh toán KL Khách sạn</t>
  </si>
  <si>
    <t>Chi công 4 căn Khách sạn</t>
  </si>
  <si>
    <t>Chi  công 33 căn Shophouse</t>
  </si>
  <si>
    <t>Chi mua mua vật tư, thiết bị thi công + các phí khác</t>
  </si>
  <si>
    <t>Chi tết cho ban chỉ huy</t>
  </si>
  <si>
    <t>Chi tế cho công nhân</t>
  </si>
  <si>
    <t>Tất cả các công trình</t>
  </si>
  <si>
    <t>Tổng dư</t>
  </si>
  <si>
    <t>Đặng Hoàng Đông</t>
  </si>
  <si>
    <t>TC</t>
  </si>
  <si>
    <t>CV</t>
  </si>
  <si>
    <t>BẢNG LƯƠNG  (từ 23.T8-1.T9/2026)</t>
  </si>
  <si>
    <t>BẢNG LƯƠNG  (từ 2-10.T9/2026)</t>
  </si>
  <si>
    <t>Nguyễn Văn Chín</t>
  </si>
  <si>
    <t>Ngô Văn Cộp</t>
  </si>
  <si>
    <t>Đỗ Văn Liếu</t>
  </si>
  <si>
    <t>Nguyễn Văn Biết</t>
  </si>
  <si>
    <t>Võ Văn Nguyện</t>
  </si>
  <si>
    <t>Nguyễn Văn Lẵm</t>
  </si>
  <si>
    <t>Huỳnh Văn Cường</t>
  </si>
  <si>
    <t>Trần Thị Thanh Thúy</t>
  </si>
  <si>
    <t>Nguyễn Văn Xuyên</t>
  </si>
  <si>
    <t>BẢNG LƯƠNG  (từ 11-20.T3/2026)</t>
  </si>
  <si>
    <t>Nguyễn Thành Công</t>
  </si>
  <si>
    <t>Mai Văn Liến</t>
  </si>
  <si>
    <t>Trương Hoàng Khang</t>
  </si>
  <si>
    <t>Nguyễn Văn Chánh</t>
  </si>
  <si>
    <t>Nguyễn Trường Khoa</t>
  </si>
  <si>
    <t>Lê Nguyễn Nhân Quý</t>
  </si>
  <si>
    <t>(chi thêm 500k hổ trợ và 500k đi đám)</t>
  </si>
  <si>
    <t>BẢNG LƯƠNG  (từ 21-31.T3/2026)</t>
  </si>
  <si>
    <t>BẢNG LƯƠNG  (từ 1-10.T4/2026)</t>
  </si>
  <si>
    <t>BẢNG LƯƠNG  (từ 11-20.T4/2026)</t>
  </si>
  <si>
    <t>Ứng 1 triệu</t>
  </si>
  <si>
    <t>Ứng 2 triệu</t>
  </si>
  <si>
    <t>Ứng 5 triệu</t>
  </si>
  <si>
    <t>Đã bù lương tuần trước</t>
  </si>
  <si>
    <t>BẢNG LƯƠNG  (từ 21-30.T4/2026)</t>
  </si>
  <si>
    <t>A Phong</t>
  </si>
  <si>
    <t>Phan Văn Bình</t>
  </si>
  <si>
    <t>Phan Hoàng Thịnh</t>
  </si>
  <si>
    <t>Nguyễn Thanh Nhàn</t>
  </si>
  <si>
    <t>Lê Tố My</t>
  </si>
  <si>
    <t>Nguyễn Hoàng Huynh</t>
  </si>
  <si>
    <t>Lê Thị Loan</t>
  </si>
  <si>
    <t>BẢNG LƯƠNG  (từ 1-10.T5/2026)</t>
  </si>
  <si>
    <t>Phạm Quốc Phong</t>
  </si>
  <si>
    <t>BẢNG LƯƠNG  (từ 11-20.T5/2026)</t>
  </si>
  <si>
    <t>Công trình</t>
  </si>
  <si>
    <t>Đoàn Văn Vũ</t>
  </si>
  <si>
    <t>BẢNG LƯƠNG CÔNG TRÌNH NHÀ DIỄM  (từ 18.5-18.7/2025)</t>
  </si>
  <si>
    <t>CHI PHÍ KHÁC</t>
  </si>
  <si>
    <t>Nội Dung</t>
  </si>
  <si>
    <t>Bàn bẻ sắt 22</t>
  </si>
  <si>
    <t>Thiết lán trại</t>
  </si>
  <si>
    <t>Camera</t>
  </si>
  <si>
    <t>Sim (7gb/ngày)</t>
  </si>
  <si>
    <t>Vật tu phụ lắp lán trại (búa bén, bản lề, ổ khóa…a Linh mua)</t>
  </si>
  <si>
    <t>BẢNG LƯƠNG  (từ 21-31.T5/2026)</t>
  </si>
  <si>
    <t>Ván cột</t>
  </si>
  <si>
    <t>Đinh</t>
  </si>
  <si>
    <t>Cao su lót sàn</t>
  </si>
  <si>
    <t>Thỏ ngăn mùi</t>
  </si>
  <si>
    <t>Keo dán ống</t>
  </si>
  <si>
    <t>Ống thép 90</t>
  </si>
  <si>
    <t>Huynh</t>
  </si>
  <si>
    <t>BẢNG LƯƠNG  (từ 1-10.T6/2026)</t>
  </si>
  <si>
    <t>BẢNG CHẤM CÔNG (21-30.6.2026)</t>
  </si>
  <si>
    <t>THÁNG 5</t>
  </si>
  <si>
    <t>THÁNG 6</t>
  </si>
  <si>
    <t>THÁNG 7</t>
  </si>
  <si>
    <t>BẢNG LƯƠNG CÔNG TRÌNH NHÀ DIỄM  (từ 20.6-20.8/2025)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</si>
</sst>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(* #,##0_);_(* \(#,##0\);_(* &quot;-&quot;_);_(@_)"/>
    <numFmt numFmtId="164" formatCode="dd"/>
    <numFmt numFmtId="165" formatCode="&quot;T&quot;General"/>
    <numFmt numFmtId="166" formatCode="_(* #,##0.0_);_(* \(#,##0.0\);_(* &quot;-&quot;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i/>
      <sz val="12"/>
      <color rgb="FFFF0000"/>
      <name val="Times New Roman"/>
      <family val="1"/>
    </font>
    <font>
      <b/>
      <sz val="12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13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3" fontId="1" fillId="0" borderId="0" xfId="0" applyNumberFormat="1" applyFont="1" applyAlignment="1">
      <alignment horizontal="right" vertical="center"/>
    </xf>
    <xf numFmtId="0" fontId="2" fillId="0" borderId="1" xfId="0" applyFont="1" applyBorder="1"/>
    <xf numFmtId="3" fontId="2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 vertical="center"/>
    </xf>
    <xf numFmtId="14" fontId="1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3" fontId="2" fillId="4" borderId="1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/>
    <xf numFmtId="3" fontId="1" fillId="4" borderId="1" xfId="0" applyNumberFormat="1" applyFont="1" applyFill="1" applyBorder="1" applyAlignment="1">
      <alignment horizontal="right" vertical="center"/>
    </xf>
    <xf numFmtId="0" fontId="1" fillId="4" borderId="1" xfId="0" applyFont="1" applyFill="1" applyBorder="1" applyAlignment="1">
      <alignment wrapText="1"/>
    </xf>
    <xf numFmtId="3" fontId="1" fillId="0" borderId="0" xfId="0" applyNumberFormat="1" applyFont="1"/>
    <xf numFmtId="0" fontId="1" fillId="0" borderId="1" xfId="0" applyFont="1" applyFill="1" applyBorder="1" applyAlignment="1">
      <alignment horizontal="center" vertical="center"/>
    </xf>
    <xf numFmtId="164" fontId="2" fillId="3" borderId="9" xfId="0" applyNumberFormat="1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3" borderId="11" xfId="0" applyNumberFormat="1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/>
    </xf>
    <xf numFmtId="0" fontId="1" fillId="0" borderId="1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164" fontId="2" fillId="3" borderId="25" xfId="0" applyNumberFormat="1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27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14" fontId="1" fillId="8" borderId="1" xfId="0" applyNumberFormat="1" applyFont="1" applyFill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right" vertical="center"/>
    </xf>
    <xf numFmtId="0" fontId="2" fillId="9" borderId="29" xfId="0" applyFont="1" applyFill="1" applyBorder="1" applyAlignment="1">
      <alignment horizontal="center" vertical="center"/>
    </xf>
    <xf numFmtId="0" fontId="1" fillId="0" borderId="3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9" borderId="32" xfId="0" applyFont="1" applyFill="1" applyBorder="1" applyAlignment="1">
      <alignment horizontal="center" vertical="center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/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41" fontId="1" fillId="0" borderId="8" xfId="0" applyNumberFormat="1" applyFont="1" applyFill="1" applyBorder="1" applyAlignment="1">
      <alignment horizontal="center" vertical="center"/>
    </xf>
    <xf numFmtId="41" fontId="1" fillId="0" borderId="1" xfId="0" applyNumberFormat="1" applyFont="1" applyFill="1" applyBorder="1" applyAlignment="1">
      <alignment horizontal="right" vertical="center"/>
    </xf>
    <xf numFmtId="41" fontId="1" fillId="0" borderId="2" xfId="0" applyNumberFormat="1" applyFont="1" applyFill="1" applyBorder="1" applyAlignment="1">
      <alignment horizontal="right" vertical="center"/>
    </xf>
    <xf numFmtId="41" fontId="1" fillId="0" borderId="4" xfId="0" applyNumberFormat="1" applyFont="1" applyFill="1" applyBorder="1" applyAlignment="1">
      <alignment horizontal="right" vertical="center"/>
    </xf>
    <xf numFmtId="0" fontId="1" fillId="0" borderId="0" xfId="0" applyFont="1" applyFill="1" applyAlignment="1">
      <alignment vertical="center"/>
    </xf>
    <xf numFmtId="0" fontId="5" fillId="0" borderId="0" xfId="0" applyFont="1"/>
    <xf numFmtId="0" fontId="5" fillId="0" borderId="1" xfId="0" applyFont="1" applyBorder="1"/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2" fillId="9" borderId="3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3" fontId="5" fillId="11" borderId="1" xfId="0" applyNumberFormat="1" applyFont="1" applyFill="1" applyBorder="1" applyAlignment="1">
      <alignment horizontal="right" vertical="center"/>
    </xf>
    <xf numFmtId="3" fontId="5" fillId="11" borderId="1" xfId="0" applyNumberFormat="1" applyFont="1" applyFill="1" applyBorder="1"/>
    <xf numFmtId="0" fontId="7" fillId="13" borderId="1" xfId="0" applyFont="1" applyFill="1" applyBorder="1" applyAlignment="1">
      <alignment horizontal="center" vertical="center"/>
    </xf>
    <xf numFmtId="41" fontId="1" fillId="0" borderId="0" xfId="0" applyNumberFormat="1" applyFont="1"/>
    <xf numFmtId="41" fontId="1" fillId="0" borderId="6" xfId="0" applyNumberFormat="1" applyFont="1" applyFill="1" applyBorder="1" applyAlignment="1">
      <alignment horizontal="right" vertical="center"/>
    </xf>
    <xf numFmtId="166" fontId="1" fillId="0" borderId="6" xfId="0" applyNumberFormat="1" applyFont="1" applyFill="1" applyBorder="1" applyAlignment="1">
      <alignment horizontal="center" vertical="center"/>
    </xf>
    <xf numFmtId="166" fontId="1" fillId="0" borderId="12" xfId="0" applyNumberFormat="1" applyFont="1" applyFill="1" applyBorder="1" applyAlignment="1">
      <alignment horizontal="center" vertical="center"/>
    </xf>
    <xf numFmtId="166" fontId="1" fillId="0" borderId="14" xfId="0" applyNumberFormat="1" applyFont="1" applyFill="1" applyBorder="1" applyAlignment="1">
      <alignment horizontal="center" vertical="center"/>
    </xf>
    <xf numFmtId="0" fontId="2" fillId="9" borderId="39" xfId="0" applyFont="1" applyFill="1" applyBorder="1" applyAlignment="1">
      <alignment horizontal="center" vertical="center"/>
    </xf>
    <xf numFmtId="1" fontId="1" fillId="0" borderId="22" xfId="0" applyNumberFormat="1" applyFont="1" applyBorder="1" applyAlignment="1">
      <alignment horizontal="center" vertical="center"/>
    </xf>
    <xf numFmtId="167" fontId="1" fillId="9" borderId="39" xfId="0" applyNumberFormat="1" applyFont="1" applyFill="1" applyBorder="1" applyAlignment="1">
      <alignment horizontal="center" vertical="center"/>
    </xf>
    <xf numFmtId="0" fontId="1" fillId="9" borderId="29" xfId="0" applyFont="1" applyFill="1" applyBorder="1" applyAlignment="1">
      <alignment vertical="center"/>
    </xf>
    <xf numFmtId="0" fontId="1" fillId="9" borderId="30" xfId="0" applyFont="1" applyFill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166" fontId="1" fillId="0" borderId="17" xfId="0" applyNumberFormat="1" applyFont="1" applyFill="1" applyBorder="1" applyAlignment="1">
      <alignment horizontal="center" vertical="center"/>
    </xf>
    <xf numFmtId="41" fontId="1" fillId="0" borderId="5" xfId="0" applyNumberFormat="1" applyFont="1" applyFill="1" applyBorder="1" applyAlignment="1">
      <alignment horizontal="right" vertical="center"/>
    </xf>
    <xf numFmtId="0" fontId="1" fillId="9" borderId="30" xfId="0" applyFont="1" applyFill="1" applyBorder="1" applyAlignment="1">
      <alignment vertical="center"/>
    </xf>
    <xf numFmtId="0" fontId="1" fillId="0" borderId="41" xfId="0" applyFont="1" applyBorder="1" applyAlignment="1">
      <alignment horizontal="center" vertical="center"/>
    </xf>
    <xf numFmtId="0" fontId="1" fillId="10" borderId="41" xfId="0" applyFont="1" applyFill="1" applyBorder="1" applyAlignment="1">
      <alignment horizontal="center" vertical="center"/>
    </xf>
    <xf numFmtId="0" fontId="1" fillId="0" borderId="4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/>
    </xf>
    <xf numFmtId="3" fontId="5" fillId="12" borderId="1" xfId="0" applyNumberFormat="1" applyFont="1" applyFill="1" applyBorder="1" applyAlignment="1">
      <alignment horizontal="right" vertical="center"/>
    </xf>
    <xf numFmtId="0" fontId="6" fillId="11" borderId="12" xfId="0" applyFont="1" applyFill="1" applyBorder="1" applyAlignment="1">
      <alignment horizontal="center" vertical="center"/>
    </xf>
    <xf numFmtId="0" fontId="6" fillId="11" borderId="13" xfId="0" applyFont="1" applyFill="1" applyBorder="1" applyAlignment="1">
      <alignment horizontal="center" vertical="center"/>
    </xf>
    <xf numFmtId="0" fontId="7" fillId="13" borderId="12" xfId="0" applyFont="1" applyFill="1" applyBorder="1" applyAlignment="1">
      <alignment horizontal="center" vertical="center"/>
    </xf>
    <xf numFmtId="0" fontId="7" fillId="13" borderId="13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7" fillId="12" borderId="12" xfId="0" applyFont="1" applyFill="1" applyBorder="1" applyAlignment="1">
      <alignment horizontal="center" vertical="center"/>
    </xf>
    <xf numFmtId="3" fontId="5" fillId="12" borderId="12" xfId="0" applyNumberFormat="1" applyFont="1" applyFill="1" applyBorder="1" applyAlignment="1">
      <alignment horizontal="right" vertical="center"/>
    </xf>
    <xf numFmtId="3" fontId="5" fillId="11" borderId="12" xfId="0" applyNumberFormat="1" applyFont="1" applyFill="1" applyBorder="1" applyAlignment="1">
      <alignment horizontal="right" vertical="center"/>
    </xf>
    <xf numFmtId="3" fontId="5" fillId="11" borderId="13" xfId="0" applyNumberFormat="1" applyFont="1" applyFill="1" applyBorder="1"/>
    <xf numFmtId="3" fontId="6" fillId="14" borderId="29" xfId="0" applyNumberFormat="1" applyFont="1" applyFill="1" applyBorder="1"/>
    <xf numFmtId="0" fontId="1" fillId="8" borderId="1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10" borderId="42" xfId="0" applyFont="1" applyFill="1" applyBorder="1" applyAlignment="1">
      <alignment horizontal="center" vertical="center"/>
    </xf>
    <xf numFmtId="167" fontId="1" fillId="0" borderId="14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vertical="center"/>
    </xf>
    <xf numFmtId="0" fontId="1" fillId="0" borderId="43" xfId="0" applyFont="1" applyFill="1" applyBorder="1" applyAlignment="1">
      <alignment horizontal="center" vertical="center"/>
    </xf>
    <xf numFmtId="41" fontId="2" fillId="0" borderId="15" xfId="0" applyNumberFormat="1" applyFont="1" applyFill="1" applyBorder="1" applyAlignment="1">
      <alignment horizontal="right" vertical="center"/>
    </xf>
    <xf numFmtId="41" fontId="1" fillId="0" borderId="33" xfId="0" applyNumberFormat="1" applyFont="1" applyFill="1" applyBorder="1" applyAlignment="1">
      <alignment horizontal="center" vertical="center"/>
    </xf>
    <xf numFmtId="166" fontId="1" fillId="0" borderId="5" xfId="0" applyNumberFormat="1" applyFont="1" applyFill="1" applyBorder="1" applyAlignment="1">
      <alignment horizontal="center" vertical="center"/>
    </xf>
    <xf numFmtId="41" fontId="1" fillId="0" borderId="3" xfId="0" applyNumberFormat="1" applyFont="1" applyFill="1" applyBorder="1" applyAlignment="1">
      <alignment horizontal="right" vertical="center"/>
    </xf>
    <xf numFmtId="165" fontId="2" fillId="3" borderId="14" xfId="0" applyNumberFormat="1" applyFont="1" applyFill="1" applyBorder="1" applyAlignment="1">
      <alignment horizontal="center" vertical="center"/>
    </xf>
    <xf numFmtId="165" fontId="2" fillId="3" borderId="15" xfId="0" applyNumberFormat="1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" fontId="2" fillId="0" borderId="9" xfId="0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/>
    </xf>
    <xf numFmtId="0" fontId="2" fillId="0" borderId="44" xfId="0" applyFont="1" applyFill="1" applyBorder="1" applyAlignment="1">
      <alignment horizontal="center" vertical="center" wrapText="1"/>
    </xf>
    <xf numFmtId="164" fontId="1" fillId="0" borderId="46" xfId="0" applyNumberFormat="1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center" vertical="center"/>
    </xf>
    <xf numFmtId="164" fontId="1" fillId="0" borderId="25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6" fontId="1" fillId="0" borderId="22" xfId="0" applyNumberFormat="1" applyFont="1" applyFill="1" applyBorder="1" applyAlignment="1">
      <alignment horizontal="center" vertical="center"/>
    </xf>
    <xf numFmtId="0" fontId="1" fillId="4" borderId="8" xfId="0" applyFont="1" applyFill="1" applyBorder="1"/>
    <xf numFmtId="14" fontId="1" fillId="0" borderId="1" xfId="0" applyNumberFormat="1" applyFont="1" applyBorder="1"/>
    <xf numFmtId="3" fontId="8" fillId="0" borderId="0" xfId="0" applyNumberFormat="1" applyFont="1"/>
    <xf numFmtId="0" fontId="5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1" fillId="8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31" xfId="0" applyFont="1" applyFill="1" applyBorder="1" applyAlignment="1">
      <alignment horizontal="center" vertical="center"/>
    </xf>
    <xf numFmtId="3" fontId="3" fillId="4" borderId="15" xfId="0" applyNumberFormat="1" applyFont="1" applyFill="1" applyBorder="1" applyAlignment="1">
      <alignment horizontal="right" vertical="center"/>
    </xf>
    <xf numFmtId="0" fontId="1" fillId="4" borderId="16" xfId="0" applyFont="1" applyFill="1" applyBorder="1" applyAlignment="1">
      <alignment horizontal="center" vertical="center"/>
    </xf>
    <xf numFmtId="0" fontId="4" fillId="0" borderId="28" xfId="0" applyFont="1" applyFill="1" applyBorder="1" applyAlignment="1">
      <alignment horizontal="centerContinuous" vertical="center" wrapText="1"/>
    </xf>
    <xf numFmtId="0" fontId="2" fillId="9" borderId="30" xfId="0" applyFont="1" applyFill="1" applyBorder="1" applyAlignment="1">
      <alignment horizontal="center" vertical="center"/>
    </xf>
    <xf numFmtId="41" fontId="1" fillId="0" borderId="14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/>
    </xf>
    <xf numFmtId="0" fontId="1" fillId="0" borderId="42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vertical="center"/>
    </xf>
    <xf numFmtId="41" fontId="1" fillId="0" borderId="27" xfId="0" applyNumberFormat="1" applyFont="1" applyFill="1" applyBorder="1" applyAlignment="1">
      <alignment horizontal="center" vertical="center"/>
    </xf>
    <xf numFmtId="166" fontId="1" fillId="0" borderId="4" xfId="0" applyNumberFormat="1" applyFont="1" applyFill="1" applyBorder="1" applyAlignment="1">
      <alignment horizontal="center" vertical="center"/>
    </xf>
    <xf numFmtId="41" fontId="9" fillId="0" borderId="18" xfId="0" applyNumberFormat="1" applyFont="1" applyBorder="1" applyAlignment="1">
      <alignment horizontal="center" vertical="center"/>
    </xf>
    <xf numFmtId="41" fontId="2" fillId="0" borderId="49" xfId="0" applyNumberFormat="1" applyFont="1" applyBorder="1" applyAlignment="1">
      <alignment vertical="center"/>
    </xf>
    <xf numFmtId="14" fontId="1" fillId="0" borderId="7" xfId="0" applyNumberFormat="1" applyFont="1" applyBorder="1"/>
    <xf numFmtId="0" fontId="1" fillId="0" borderId="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" fontId="5" fillId="0" borderId="1" xfId="0" applyNumberFormat="1" applyFont="1" applyFill="1" applyBorder="1" applyAlignment="1">
      <alignment horizontal="center" vertical="center"/>
    </xf>
    <xf numFmtId="3" fontId="5" fillId="0" borderId="1" xfId="0" applyNumberFormat="1" applyFont="1" applyFill="1" applyBorder="1" applyAlignment="1">
      <alignment horizontal="right" vertical="center"/>
    </xf>
    <xf numFmtId="3" fontId="5" fillId="0" borderId="21" xfId="0" applyNumberFormat="1" applyFont="1" applyFill="1" applyBorder="1"/>
    <xf numFmtId="3" fontId="5" fillId="0" borderId="50" xfId="0" applyNumberFormat="1" applyFont="1" applyFill="1" applyBorder="1"/>
    <xf numFmtId="0" fontId="4" fillId="0" borderId="0" xfId="0" applyFont="1" applyFill="1" applyBorder="1" applyAlignment="1">
      <alignment horizontal="centerContinuous" vertical="center" wrapText="1"/>
    </xf>
    <xf numFmtId="166" fontId="1" fillId="0" borderId="19" xfId="0" applyNumberFormat="1" applyFont="1" applyFill="1" applyBorder="1" applyAlignment="1">
      <alignment horizontal="center" vertical="center"/>
    </xf>
    <xf numFmtId="41" fontId="1" fillId="0" borderId="23" xfId="0" applyNumberFormat="1" applyFont="1" applyFill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4" borderId="47" xfId="0" applyFont="1" applyFill="1" applyBorder="1" applyAlignment="1">
      <alignment horizontal="center" vertical="center"/>
    </xf>
    <xf numFmtId="0" fontId="1" fillId="4" borderId="27" xfId="0" applyFont="1" applyFill="1" applyBorder="1"/>
    <xf numFmtId="3" fontId="1" fillId="4" borderId="2" xfId="0" applyNumberFormat="1" applyFont="1" applyFill="1" applyBorder="1" applyAlignment="1">
      <alignment horizontal="right" vertical="center"/>
    </xf>
    <xf numFmtId="0" fontId="1" fillId="4" borderId="2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5" fillId="11" borderId="6" xfId="0" applyFont="1" applyFill="1" applyBorder="1" applyAlignment="1">
      <alignment horizontal="center" vertical="center"/>
    </xf>
    <xf numFmtId="3" fontId="5" fillId="12" borderId="8" xfId="0" applyNumberFormat="1" applyFont="1" applyFill="1" applyBorder="1" applyAlignment="1">
      <alignment horizontal="right" vertical="center"/>
    </xf>
    <xf numFmtId="3" fontId="5" fillId="11" borderId="21" xfId="0" applyNumberFormat="1" applyFont="1" applyFill="1" applyBorder="1"/>
    <xf numFmtId="3" fontId="5" fillId="11" borderId="50" xfId="0" applyNumberFormat="1" applyFont="1" applyFill="1" applyBorder="1"/>
    <xf numFmtId="3" fontId="2" fillId="0" borderId="0" xfId="0" applyNumberFormat="1" applyFont="1"/>
    <xf numFmtId="3" fontId="3" fillId="0" borderId="0" xfId="0" applyNumberFormat="1" applyFont="1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10" borderId="7" xfId="0" applyFont="1" applyFill="1" applyBorder="1" applyAlignment="1">
      <alignment horizontal="center" vertical="center"/>
    </xf>
    <xf numFmtId="0" fontId="1" fillId="10" borderId="51" xfId="0" applyFont="1" applyFill="1" applyBorder="1" applyAlignment="1">
      <alignment horizontal="center" vertical="center"/>
    </xf>
    <xf numFmtId="0" fontId="1" fillId="0" borderId="51" xfId="0" applyFont="1" applyFill="1" applyBorder="1" applyAlignment="1">
      <alignment horizontal="center" vertical="center"/>
    </xf>
    <xf numFmtId="164" fontId="2" fillId="3" borderId="16" xfId="0" applyNumberFormat="1" applyFont="1" applyFill="1" applyBorder="1" applyAlignment="1">
      <alignment horizontal="center" vertical="center"/>
    </xf>
    <xf numFmtId="41" fontId="1" fillId="0" borderId="0" xfId="0" applyNumberFormat="1" applyFont="1" applyAlignment="1">
      <alignment vertical="center"/>
    </xf>
    <xf numFmtId="164" fontId="1" fillId="0" borderId="24" xfId="0" applyNumberFormat="1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164" fontId="2" fillId="3" borderId="19" xfId="0" applyNumberFormat="1" applyFont="1" applyFill="1" applyBorder="1" applyAlignment="1">
      <alignment horizontal="center" vertical="center"/>
    </xf>
    <xf numFmtId="164" fontId="2" fillId="3" borderId="24" xfId="0" applyNumberFormat="1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vertical="center"/>
    </xf>
    <xf numFmtId="167" fontId="1" fillId="0" borderId="39" xfId="0" applyNumberFormat="1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vertical="center"/>
    </xf>
    <xf numFmtId="0" fontId="1" fillId="0" borderId="30" xfId="0" applyFont="1" applyFill="1" applyBorder="1" applyAlignment="1">
      <alignment vertical="center"/>
    </xf>
    <xf numFmtId="0" fontId="1" fillId="0" borderId="28" xfId="0" applyFont="1" applyFill="1" applyBorder="1" applyAlignment="1">
      <alignment horizontal="center" vertical="center"/>
    </xf>
    <xf numFmtId="0" fontId="2" fillId="0" borderId="52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41" fontId="2" fillId="0" borderId="29" xfId="0" applyNumberFormat="1" applyFont="1" applyFill="1" applyBorder="1" applyAlignment="1">
      <alignment horizontal="right" vertical="center"/>
    </xf>
    <xf numFmtId="41" fontId="2" fillId="0" borderId="30" xfId="0" applyNumberFormat="1" applyFont="1" applyFill="1" applyBorder="1" applyAlignment="1">
      <alignment horizontal="right" vertical="center"/>
    </xf>
    <xf numFmtId="0" fontId="2" fillId="0" borderId="47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41" fontId="1" fillId="0" borderId="22" xfId="0" applyNumberFormat="1" applyFont="1" applyFill="1" applyBorder="1" applyAlignment="1">
      <alignment horizontal="center" vertical="center"/>
    </xf>
    <xf numFmtId="167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166" fontId="1" fillId="0" borderId="33" xfId="0" applyNumberFormat="1" applyFont="1" applyFill="1" applyBorder="1" applyAlignment="1">
      <alignment horizontal="center" vertical="center"/>
    </xf>
    <xf numFmtId="166" fontId="1" fillId="0" borderId="8" xfId="0" applyNumberFormat="1" applyFont="1" applyFill="1" applyBorder="1" applyAlignment="1">
      <alignment horizontal="center" vertical="center"/>
    </xf>
    <xf numFmtId="166" fontId="1" fillId="0" borderId="27" xfId="0" applyNumberFormat="1" applyFont="1" applyFill="1" applyBorder="1" applyAlignment="1">
      <alignment horizontal="center" vertical="center"/>
    </xf>
    <xf numFmtId="166" fontId="1" fillId="0" borderId="32" xfId="0" applyNumberFormat="1" applyFont="1" applyFill="1" applyBorder="1" applyAlignment="1">
      <alignment horizontal="center" vertical="center"/>
    </xf>
    <xf numFmtId="41" fontId="1" fillId="0" borderId="17" xfId="0" applyNumberFormat="1" applyFont="1" applyFill="1" applyBorder="1" applyAlignment="1">
      <alignment horizontal="center" vertical="center"/>
    </xf>
    <xf numFmtId="166" fontId="1" fillId="0" borderId="18" xfId="0" applyNumberFormat="1" applyFont="1" applyFill="1" applyBorder="1" applyAlignment="1">
      <alignment horizontal="center" vertical="center"/>
    </xf>
    <xf numFmtId="41" fontId="1" fillId="0" borderId="12" xfId="0" applyNumberFormat="1" applyFont="1" applyFill="1" applyBorder="1" applyAlignment="1">
      <alignment horizontal="center" vertical="center"/>
    </xf>
    <xf numFmtId="166" fontId="1" fillId="0" borderId="13" xfId="0" applyNumberFormat="1" applyFont="1" applyFill="1" applyBorder="1" applyAlignment="1">
      <alignment horizontal="center" vertical="center"/>
    </xf>
    <xf numFmtId="166" fontId="1" fillId="0" borderId="23" xfId="0" applyNumberFormat="1" applyFont="1" applyFill="1" applyBorder="1" applyAlignment="1">
      <alignment horizontal="center" vertical="center"/>
    </xf>
    <xf numFmtId="41" fontId="1" fillId="0" borderId="39" xfId="0" applyNumberFormat="1" applyFont="1" applyFill="1" applyBorder="1" applyAlignment="1">
      <alignment horizontal="center" vertical="center"/>
    </xf>
    <xf numFmtId="166" fontId="1" fillId="0" borderId="36" xfId="0" applyNumberFormat="1" applyFont="1" applyFill="1" applyBorder="1" applyAlignment="1">
      <alignment horizontal="center" vertical="center"/>
    </xf>
    <xf numFmtId="3" fontId="2" fillId="9" borderId="36" xfId="0" applyNumberFormat="1" applyFont="1" applyFill="1" applyBorder="1" applyAlignment="1">
      <alignment horizontal="center" vertical="center"/>
    </xf>
    <xf numFmtId="41" fontId="1" fillId="8" borderId="0" xfId="0" applyNumberFormat="1" applyFont="1" applyFill="1"/>
    <xf numFmtId="41" fontId="2" fillId="0" borderId="6" xfId="0" applyNumberFormat="1" applyFont="1" applyFill="1" applyBorder="1" applyAlignment="1">
      <alignment horizontal="right" vertical="center"/>
    </xf>
    <xf numFmtId="41" fontId="9" fillId="0" borderId="55" xfId="0" applyNumberFormat="1" applyFont="1" applyBorder="1" applyAlignment="1">
      <alignment horizontal="center" vertical="center"/>
    </xf>
    <xf numFmtId="0" fontId="1" fillId="0" borderId="54" xfId="0" applyFont="1" applyBorder="1" applyAlignment="1">
      <alignment vertical="center"/>
    </xf>
    <xf numFmtId="0" fontId="1" fillId="0" borderId="54" xfId="0" applyFont="1" applyFill="1" applyBorder="1" applyAlignment="1">
      <alignment vertical="center"/>
    </xf>
    <xf numFmtId="0" fontId="1" fillId="0" borderId="56" xfId="0" applyFont="1" applyBorder="1" applyAlignment="1">
      <alignment vertical="center"/>
    </xf>
    <xf numFmtId="0" fontId="1" fillId="0" borderId="56" xfId="0" applyFont="1" applyFill="1" applyBorder="1" applyAlignment="1">
      <alignment vertical="center"/>
    </xf>
    <xf numFmtId="41" fontId="1" fillId="0" borderId="56" xfId="0" applyNumberFormat="1" applyFont="1" applyFill="1" applyBorder="1" applyAlignment="1">
      <alignment horizontal="right" vertical="center"/>
    </xf>
    <xf numFmtId="41" fontId="1" fillId="0" borderId="54" xfId="0" applyNumberFormat="1" applyFont="1" applyFill="1" applyBorder="1" applyAlignment="1">
      <alignment horizontal="right" vertical="center"/>
    </xf>
    <xf numFmtId="41" fontId="1" fillId="0" borderId="57" xfId="0" applyNumberFormat="1" applyFont="1" applyFill="1" applyBorder="1" applyAlignment="1">
      <alignment horizontal="right" vertical="center"/>
    </xf>
    <xf numFmtId="41" fontId="15" fillId="0" borderId="55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2" fillId="0" borderId="0" xfId="0" applyNumberFormat="1" applyFont="1" applyAlignment="1">
      <alignment vertical="center"/>
    </xf>
    <xf numFmtId="4" fontId="2" fillId="0" borderId="0" xfId="0" applyNumberFormat="1" applyFont="1" applyAlignment="1">
      <alignment vertical="center"/>
    </xf>
    <xf numFmtId="164" fontId="1" fillId="0" borderId="58" xfId="0" applyNumberFormat="1" applyFont="1" applyFill="1" applyBorder="1" applyAlignment="1">
      <alignment horizontal="center" vertical="center"/>
    </xf>
    <xf numFmtId="164" fontId="1" fillId="0" borderId="3" xfId="0" applyNumberFormat="1" applyFont="1" applyFill="1" applyBorder="1" applyAlignment="1">
      <alignment horizontal="center" vertical="center"/>
    </xf>
    <xf numFmtId="164" fontId="1" fillId="0" borderId="33" xfId="0" applyNumberFormat="1" applyFont="1" applyFill="1" applyBorder="1" applyAlignment="1">
      <alignment horizontal="center" vertical="center"/>
    </xf>
    <xf numFmtId="164" fontId="1" fillId="0" borderId="5" xfId="0" applyNumberFormat="1" applyFont="1" applyFill="1" applyBorder="1" applyAlignment="1">
      <alignment horizontal="center" vertical="center"/>
    </xf>
    <xf numFmtId="166" fontId="1" fillId="0" borderId="30" xfId="0" applyNumberFormat="1" applyFont="1" applyFill="1" applyBorder="1" applyAlignment="1">
      <alignment horizontal="center" vertical="center"/>
    </xf>
    <xf numFmtId="41" fontId="1" fillId="0" borderId="33" xfId="0" applyNumberFormat="1" applyFont="1" applyFill="1" applyBorder="1" applyAlignment="1">
      <alignment horizontal="right" vertical="center"/>
    </xf>
    <xf numFmtId="41" fontId="1" fillId="0" borderId="8" xfId="0" applyNumberFormat="1" applyFont="1" applyFill="1" applyBorder="1" applyAlignment="1">
      <alignment horizontal="right" vertical="center"/>
    </xf>
    <xf numFmtId="41" fontId="1" fillId="0" borderId="27" xfId="0" applyNumberFormat="1" applyFont="1" applyFill="1" applyBorder="1" applyAlignment="1">
      <alignment horizontal="right" vertical="center"/>
    </xf>
    <xf numFmtId="41" fontId="2" fillId="0" borderId="32" xfId="0" applyNumberFormat="1" applyFont="1" applyFill="1" applyBorder="1" applyAlignment="1">
      <alignment horizontal="right" vertical="center"/>
    </xf>
    <xf numFmtId="166" fontId="1" fillId="0" borderId="55" xfId="0" applyNumberFormat="1" applyFont="1" applyFill="1" applyBorder="1" applyAlignment="1">
      <alignment horizontal="center" vertical="center"/>
    </xf>
    <xf numFmtId="166" fontId="1" fillId="0" borderId="54" xfId="0" applyNumberFormat="1" applyFont="1" applyFill="1" applyBorder="1" applyAlignment="1">
      <alignment horizontal="center" vertical="center"/>
    </xf>
    <xf numFmtId="166" fontId="1" fillId="0" borderId="57" xfId="0" applyNumberFormat="1" applyFont="1" applyFill="1" applyBorder="1" applyAlignment="1">
      <alignment horizontal="center" vertical="center"/>
    </xf>
    <xf numFmtId="0" fontId="2" fillId="9" borderId="57" xfId="0" applyFont="1" applyFill="1" applyBorder="1" applyAlignment="1">
      <alignment horizontal="center" vertical="center"/>
    </xf>
    <xf numFmtId="1" fontId="1" fillId="8" borderId="12" xfId="0" applyNumberFormat="1" applyFont="1" applyFill="1" applyBorder="1" applyAlignment="1">
      <alignment horizontal="center" vertical="center"/>
    </xf>
    <xf numFmtId="0" fontId="1" fillId="8" borderId="2" xfId="0" applyFont="1" applyFill="1" applyBorder="1" applyAlignment="1">
      <alignment vertical="center"/>
    </xf>
    <xf numFmtId="0" fontId="1" fillId="8" borderId="51" xfId="0" applyFont="1" applyFill="1" applyBorder="1" applyAlignment="1">
      <alignment horizontal="center" vertical="center"/>
    </xf>
    <xf numFmtId="0" fontId="1" fillId="8" borderId="47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41" fontId="1" fillId="8" borderId="12" xfId="0" applyNumberFormat="1" applyFont="1" applyFill="1" applyBorder="1" applyAlignment="1">
      <alignment horizontal="center" vertical="center"/>
    </xf>
    <xf numFmtId="166" fontId="1" fillId="8" borderId="6" xfId="0" applyNumberFormat="1" applyFont="1" applyFill="1" applyBorder="1" applyAlignment="1">
      <alignment horizontal="center" vertical="center"/>
    </xf>
    <xf numFmtId="166" fontId="1" fillId="8" borderId="54" xfId="0" applyNumberFormat="1" applyFont="1" applyFill="1" applyBorder="1" applyAlignment="1">
      <alignment horizontal="center" vertical="center"/>
    </xf>
    <xf numFmtId="41" fontId="1" fillId="8" borderId="27" xfId="0" applyNumberFormat="1" applyFont="1" applyFill="1" applyBorder="1" applyAlignment="1">
      <alignment horizontal="right" vertical="center"/>
    </xf>
    <xf numFmtId="41" fontId="1" fillId="8" borderId="4" xfId="0" applyNumberFormat="1" applyFont="1" applyFill="1" applyBorder="1" applyAlignment="1">
      <alignment horizontal="right" vertical="center"/>
    </xf>
    <xf numFmtId="0" fontId="1" fillId="8" borderId="56" xfId="0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1" fillId="0" borderId="59" xfId="0" applyFont="1" applyBorder="1" applyAlignment="1">
      <alignment vertical="center"/>
    </xf>
    <xf numFmtId="165" fontId="2" fillId="3" borderId="37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vertical="center" wrapText="1"/>
    </xf>
    <xf numFmtId="41" fontId="1" fillId="8" borderId="54" xfId="0" applyNumberFormat="1" applyFont="1" applyFill="1" applyBorder="1" applyAlignment="1">
      <alignment horizontal="right" vertical="center"/>
    </xf>
    <xf numFmtId="1" fontId="1" fillId="0" borderId="1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41" fontId="1" fillId="8" borderId="8" xfId="0" applyNumberFormat="1" applyFont="1" applyFill="1" applyBorder="1" applyAlignment="1">
      <alignment horizontal="right" vertical="center"/>
    </xf>
    <xf numFmtId="41" fontId="1" fillId="8" borderId="6" xfId="0" applyNumberFormat="1" applyFont="1" applyFill="1" applyBorder="1" applyAlignment="1">
      <alignment horizontal="right" vertical="center"/>
    </xf>
    <xf numFmtId="0" fontId="1" fillId="8" borderId="54" xfId="0" applyFont="1" applyFill="1" applyBorder="1" applyAlignment="1">
      <alignment vertical="center"/>
    </xf>
    <xf numFmtId="166" fontId="1" fillId="8" borderId="4" xfId="0" applyNumberFormat="1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vertical="center"/>
    </xf>
    <xf numFmtId="0" fontId="1" fillId="0" borderId="5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60" xfId="0" applyFont="1" applyFill="1" applyBorder="1" applyAlignment="1">
      <alignment horizontal="center" vertical="center"/>
    </xf>
    <xf numFmtId="0" fontId="1" fillId="0" borderId="61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50" xfId="0" applyFont="1" applyFill="1" applyBorder="1" applyAlignment="1">
      <alignment horizontal="center" vertical="center"/>
    </xf>
    <xf numFmtId="41" fontId="1" fillId="0" borderId="61" xfId="0" applyNumberFormat="1" applyFont="1" applyFill="1" applyBorder="1" applyAlignment="1">
      <alignment horizontal="right" vertical="center"/>
    </xf>
    <xf numFmtId="41" fontId="1" fillId="0" borderId="59" xfId="0" applyNumberFormat="1" applyFont="1" applyFill="1" applyBorder="1" applyAlignment="1">
      <alignment horizontal="right" vertical="center"/>
    </xf>
    <xf numFmtId="166" fontId="1" fillId="0" borderId="50" xfId="0" applyNumberFormat="1" applyFont="1" applyFill="1" applyBorder="1" applyAlignment="1">
      <alignment horizontal="center" vertical="center"/>
    </xf>
    <xf numFmtId="41" fontId="1" fillId="0" borderId="50" xfId="0" applyNumberFormat="1" applyFont="1" applyFill="1" applyBorder="1" applyAlignment="1">
      <alignment horizontal="right" vertical="center"/>
    </xf>
    <xf numFmtId="1" fontId="1" fillId="0" borderId="1" xfId="0" applyNumberFormat="1" applyFont="1" applyFill="1" applyBorder="1" applyAlignment="1">
      <alignment horizontal="center" vertical="center"/>
    </xf>
    <xf numFmtId="41" fontId="1" fillId="8" borderId="8" xfId="0" applyNumberFormat="1" applyFont="1" applyFill="1" applyBorder="1" applyAlignment="1">
      <alignment horizontal="center" vertical="center"/>
    </xf>
    <xf numFmtId="41" fontId="1" fillId="0" borderId="61" xfId="0" applyNumberFormat="1" applyFont="1" applyFill="1" applyBorder="1" applyAlignment="1">
      <alignment horizontal="center" vertical="center"/>
    </xf>
    <xf numFmtId="164" fontId="1" fillId="0" borderId="18" xfId="0" applyNumberFormat="1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23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1" fontId="1" fillId="0" borderId="20" xfId="0" applyNumberFormat="1" applyFont="1" applyFill="1" applyBorder="1" applyAlignment="1">
      <alignment horizontal="center" vertical="center"/>
    </xf>
    <xf numFmtId="0" fontId="1" fillId="0" borderId="63" xfId="0" applyFont="1" applyFill="1" applyBorder="1" applyAlignment="1">
      <alignment horizontal="center" vertical="center"/>
    </xf>
    <xf numFmtId="166" fontId="1" fillId="0" borderId="59" xfId="0" applyNumberFormat="1" applyFont="1" applyFill="1" applyBorder="1" applyAlignment="1">
      <alignment horizontal="center" vertical="center"/>
    </xf>
    <xf numFmtId="167" fontId="1" fillId="9" borderId="64" xfId="0" applyNumberFormat="1" applyFont="1" applyFill="1" applyBorder="1" applyAlignment="1">
      <alignment horizontal="center" vertical="center"/>
    </xf>
    <xf numFmtId="0" fontId="1" fillId="9" borderId="65" xfId="0" applyFont="1" applyFill="1" applyBorder="1" applyAlignment="1">
      <alignment vertical="center"/>
    </xf>
    <xf numFmtId="0" fontId="1" fillId="9" borderId="66" xfId="0" applyFont="1" applyFill="1" applyBorder="1" applyAlignment="1">
      <alignment vertical="center"/>
    </xf>
    <xf numFmtId="0" fontId="1" fillId="9" borderId="66" xfId="0" applyFont="1" applyFill="1" applyBorder="1" applyAlignment="1">
      <alignment horizontal="center" vertical="center"/>
    </xf>
    <xf numFmtId="0" fontId="2" fillId="9" borderId="64" xfId="0" applyFont="1" applyFill="1" applyBorder="1" applyAlignment="1">
      <alignment horizontal="center" vertical="center"/>
    </xf>
    <xf numFmtId="0" fontId="2" fillId="9" borderId="67" xfId="0" applyFont="1" applyFill="1" applyBorder="1" applyAlignment="1">
      <alignment horizontal="center" vertical="center"/>
    </xf>
    <xf numFmtId="0" fontId="2" fillId="9" borderId="65" xfId="0" applyFont="1" applyFill="1" applyBorder="1" applyAlignment="1">
      <alignment horizontal="center" vertical="center"/>
    </xf>
    <xf numFmtId="0" fontId="2" fillId="9" borderId="68" xfId="0" applyFont="1" applyFill="1" applyBorder="1" applyAlignment="1">
      <alignment horizontal="center" vertical="center"/>
    </xf>
    <xf numFmtId="0" fontId="2" fillId="9" borderId="66" xfId="0" applyFont="1" applyFill="1" applyBorder="1" applyAlignment="1">
      <alignment horizontal="center" vertical="center"/>
    </xf>
    <xf numFmtId="0" fontId="2" fillId="9" borderId="62" xfId="0" applyFont="1" applyFill="1" applyBorder="1" applyAlignment="1">
      <alignment horizontal="center" vertical="center"/>
    </xf>
    <xf numFmtId="3" fontId="2" fillId="9" borderId="66" xfId="0" applyNumberFormat="1" applyFont="1" applyFill="1" applyBorder="1" applyAlignment="1">
      <alignment horizontal="center" vertical="center"/>
    </xf>
    <xf numFmtId="3" fontId="2" fillId="9" borderId="62" xfId="0" applyNumberFormat="1" applyFont="1" applyFill="1" applyBorder="1" applyAlignment="1">
      <alignment horizontal="center" vertical="center"/>
    </xf>
    <xf numFmtId="41" fontId="1" fillId="8" borderId="27" xfId="0" applyNumberFormat="1" applyFont="1" applyFill="1" applyBorder="1" applyAlignment="1">
      <alignment horizontal="center" vertical="center"/>
    </xf>
    <xf numFmtId="0" fontId="1" fillId="0" borderId="59" xfId="0" applyFont="1" applyFill="1" applyBorder="1" applyAlignment="1">
      <alignment vertical="center"/>
    </xf>
    <xf numFmtId="164" fontId="2" fillId="3" borderId="46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" fontId="1" fillId="0" borderId="17" xfId="0" applyNumberFormat="1" applyFont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9" xfId="0" applyFont="1" applyFill="1" applyBorder="1" applyAlignment="1">
      <alignment horizontal="center" vertical="center"/>
    </xf>
    <xf numFmtId="0" fontId="1" fillId="0" borderId="58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41" fontId="1" fillId="0" borderId="18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vertical="center"/>
    </xf>
    <xf numFmtId="41" fontId="1" fillId="0" borderId="13" xfId="0" applyNumberFormat="1" applyFont="1" applyFill="1" applyBorder="1" applyAlignment="1">
      <alignment horizontal="right" vertical="center"/>
    </xf>
    <xf numFmtId="3" fontId="1" fillId="0" borderId="54" xfId="0" applyNumberFormat="1" applyFont="1" applyBorder="1" applyAlignment="1">
      <alignment vertical="center"/>
    </xf>
    <xf numFmtId="3" fontId="9" fillId="0" borderId="55" xfId="0" applyNumberFormat="1" applyFont="1" applyBorder="1" applyAlignment="1">
      <alignment horizontal="center" vertical="center"/>
    </xf>
    <xf numFmtId="3" fontId="1" fillId="8" borderId="54" xfId="0" applyNumberFormat="1" applyFont="1" applyFill="1" applyBorder="1" applyAlignment="1">
      <alignment vertical="center"/>
    </xf>
    <xf numFmtId="3" fontId="1" fillId="0" borderId="54" xfId="0" applyNumberFormat="1" applyFont="1" applyFill="1" applyBorder="1" applyAlignment="1">
      <alignment vertical="center"/>
    </xf>
    <xf numFmtId="3" fontId="1" fillId="0" borderId="56" xfId="0" applyNumberFormat="1" applyFont="1" applyBorder="1" applyAlignment="1">
      <alignment vertical="center"/>
    </xf>
    <xf numFmtId="3" fontId="1" fillId="8" borderId="54" xfId="0" applyNumberFormat="1" applyFont="1" applyFill="1" applyBorder="1" applyAlignment="1">
      <alignment horizontal="right" vertical="center"/>
    </xf>
    <xf numFmtId="3" fontId="1" fillId="0" borderId="59" xfId="0" applyNumberFormat="1" applyFont="1" applyFill="1" applyBorder="1" applyAlignment="1">
      <alignment vertical="center"/>
    </xf>
    <xf numFmtId="3" fontId="1" fillId="0" borderId="56" xfId="0" applyNumberFormat="1" applyFont="1" applyFill="1" applyBorder="1" applyAlignment="1">
      <alignment vertical="center"/>
    </xf>
    <xf numFmtId="3" fontId="1" fillId="8" borderId="56" xfId="0" applyNumberFormat="1" applyFont="1" applyFill="1" applyBorder="1" applyAlignment="1">
      <alignment vertical="center"/>
    </xf>
    <xf numFmtId="3" fontId="1" fillId="0" borderId="54" xfId="0" applyNumberFormat="1" applyFont="1" applyFill="1" applyBorder="1" applyAlignment="1">
      <alignment horizontal="right" vertical="center"/>
    </xf>
    <xf numFmtId="3" fontId="1" fillId="0" borderId="59" xfId="0" applyNumberFormat="1" applyFont="1" applyFill="1" applyBorder="1" applyAlignment="1">
      <alignment horizontal="right" vertical="center"/>
    </xf>
    <xf numFmtId="3" fontId="1" fillId="0" borderId="55" xfId="0" applyNumberFormat="1" applyFont="1" applyFill="1" applyBorder="1" applyAlignment="1">
      <alignment horizontal="right" vertical="center"/>
    </xf>
    <xf numFmtId="3" fontId="15" fillId="0" borderId="55" xfId="0" applyNumberFormat="1" applyFont="1" applyBorder="1" applyAlignment="1">
      <alignment horizontal="right" vertical="center"/>
    </xf>
    <xf numFmtId="41" fontId="2" fillId="0" borderId="0" xfId="0" applyNumberFormat="1" applyFont="1" applyFill="1"/>
    <xf numFmtId="41" fontId="1" fillId="0" borderId="69" xfId="0" applyNumberFormat="1" applyFont="1" applyFill="1" applyBorder="1" applyAlignment="1">
      <alignment horizontal="right" vertical="center"/>
    </xf>
    <xf numFmtId="41" fontId="1" fillId="0" borderId="7" xfId="0" applyNumberFormat="1" applyFont="1" applyFill="1" applyBorder="1" applyAlignment="1">
      <alignment horizontal="right" vertical="center"/>
    </xf>
    <xf numFmtId="41" fontId="1" fillId="0" borderId="51" xfId="0" applyNumberFormat="1" applyFont="1" applyFill="1" applyBorder="1" applyAlignment="1">
      <alignment horizontal="right" vertical="center"/>
    </xf>
    <xf numFmtId="41" fontId="1" fillId="0" borderId="0" xfId="0" applyNumberFormat="1" applyFont="1" applyFill="1" applyBorder="1" applyAlignment="1">
      <alignment horizontal="right" vertical="center"/>
    </xf>
    <xf numFmtId="41" fontId="1" fillId="0" borderId="41" xfId="0" applyNumberFormat="1" applyFont="1" applyFill="1" applyBorder="1" applyAlignment="1">
      <alignment horizontal="right" vertical="center"/>
    </xf>
    <xf numFmtId="41" fontId="1" fillId="0" borderId="70" xfId="0" applyNumberFormat="1" applyFont="1" applyFill="1" applyBorder="1" applyAlignment="1">
      <alignment horizontal="right" vertical="center"/>
    </xf>
    <xf numFmtId="3" fontId="2" fillId="9" borderId="71" xfId="0" applyNumberFormat="1" applyFont="1" applyFill="1" applyBorder="1" applyAlignment="1">
      <alignment horizontal="center" vertical="center"/>
    </xf>
    <xf numFmtId="41" fontId="1" fillId="0" borderId="10" xfId="0" applyNumberFormat="1" applyFont="1" applyFill="1" applyBorder="1" applyAlignment="1">
      <alignment horizontal="right" vertical="center"/>
    </xf>
    <xf numFmtId="164" fontId="2" fillId="3" borderId="15" xfId="0" applyNumberFormat="1" applyFont="1" applyFill="1" applyBorder="1" applyAlignment="1">
      <alignment horizontal="center" vertical="center"/>
    </xf>
    <xf numFmtId="164" fontId="2" fillId="3" borderId="34" xfId="0" applyNumberFormat="1" applyFont="1" applyFill="1" applyBorder="1" applyAlignment="1">
      <alignment horizontal="center" vertical="center"/>
    </xf>
    <xf numFmtId="164" fontId="2" fillId="3" borderId="26" xfId="0" applyNumberFormat="1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7" fontId="2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165" fontId="2" fillId="3" borderId="13" xfId="0" applyNumberFormat="1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164" fontId="1" fillId="8" borderId="10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164" fontId="2" fillId="0" borderId="34" xfId="0" applyNumberFormat="1" applyFont="1" applyFill="1" applyBorder="1" applyAlignment="1">
      <alignment horizontal="center" vertical="center"/>
    </xf>
    <xf numFmtId="0" fontId="2" fillId="0" borderId="6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9" borderId="65" xfId="0" applyFont="1" applyFill="1" applyBorder="1" applyAlignment="1">
      <alignment horizontal="center" vertical="center"/>
    </xf>
    <xf numFmtId="164" fontId="2" fillId="3" borderId="37" xfId="0" applyNumberFormat="1" applyFont="1" applyFill="1" applyBorder="1" applyAlignment="1">
      <alignment horizontal="center" vertical="center"/>
    </xf>
    <xf numFmtId="164" fontId="1" fillId="0" borderId="69" xfId="0" applyNumberFormat="1" applyFont="1" applyFill="1" applyBorder="1" applyAlignment="1">
      <alignment horizontal="center" vertical="center"/>
    </xf>
    <xf numFmtId="0" fontId="1" fillId="0" borderId="4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3" borderId="9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3" fontId="2" fillId="3" borderId="10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167" fontId="2" fillId="0" borderId="9" xfId="0" applyNumberFormat="1" applyFont="1" applyBorder="1" applyAlignment="1">
      <alignment horizontal="center" vertical="center"/>
    </xf>
    <xf numFmtId="167" fontId="2" fillId="0" borderId="14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textRotation="90" wrapText="1"/>
    </xf>
    <xf numFmtId="0" fontId="2" fillId="3" borderId="26" xfId="0" applyFont="1" applyFill="1" applyBorder="1" applyAlignment="1">
      <alignment horizontal="center" vertical="center" textRotation="90" wrapText="1"/>
    </xf>
    <xf numFmtId="0" fontId="2" fillId="3" borderId="24" xfId="0" applyFont="1" applyFill="1" applyBorder="1" applyAlignment="1">
      <alignment horizontal="center" vertical="center" textRotation="90" wrapText="1"/>
    </xf>
    <xf numFmtId="0" fontId="2" fillId="3" borderId="19" xfId="0" applyFont="1" applyFill="1" applyBorder="1" applyAlignment="1">
      <alignment horizontal="center" vertical="center" textRotation="90" wrapText="1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3" fontId="2" fillId="3" borderId="24" xfId="0" applyNumberFormat="1" applyFont="1" applyFill="1" applyBorder="1" applyAlignment="1">
      <alignment horizontal="center" vertical="center" wrapText="1"/>
    </xf>
    <xf numFmtId="3" fontId="2" fillId="3" borderId="6" xfId="0" applyNumberFormat="1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/>
    </xf>
    <xf numFmtId="0" fontId="2" fillId="3" borderId="5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 textRotation="90" wrapText="1"/>
    </xf>
    <xf numFmtId="0" fontId="2" fillId="3" borderId="14" xfId="0" applyFont="1" applyFill="1" applyBorder="1" applyAlignment="1">
      <alignment horizontal="center" vertical="center" textRotation="90" wrapText="1"/>
    </xf>
    <xf numFmtId="0" fontId="2" fillId="3" borderId="11" xfId="0" applyFont="1" applyFill="1" applyBorder="1" applyAlignment="1">
      <alignment horizontal="center" vertical="center" textRotation="90" wrapText="1"/>
    </xf>
    <xf numFmtId="0" fontId="2" fillId="3" borderId="16" xfId="0" applyFont="1" applyFill="1" applyBorder="1" applyAlignment="1">
      <alignment horizontal="center" vertical="center" textRotation="90" wrapText="1"/>
    </xf>
    <xf numFmtId="0" fontId="2" fillId="3" borderId="53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3" fontId="2" fillId="3" borderId="25" xfId="0" applyNumberFormat="1" applyFont="1" applyFill="1" applyBorder="1" applyAlignment="1">
      <alignment horizontal="center" vertical="center" wrapText="1"/>
    </xf>
    <xf numFmtId="3" fontId="2" fillId="3" borderId="26" xfId="0" applyNumberFormat="1" applyFont="1" applyFill="1" applyBorder="1" applyAlignment="1">
      <alignment horizontal="center" vertical="center" wrapText="1"/>
    </xf>
    <xf numFmtId="3" fontId="2" fillId="3" borderId="19" xfId="0" applyNumberFormat="1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/>
    </xf>
    <xf numFmtId="3" fontId="2" fillId="3" borderId="72" xfId="0" applyNumberFormat="1" applyFont="1" applyFill="1" applyBorder="1" applyAlignment="1">
      <alignment horizontal="center" vertical="center" wrapText="1"/>
    </xf>
    <xf numFmtId="3" fontId="2" fillId="3" borderId="36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5" borderId="46" xfId="0" applyFont="1" applyFill="1" applyBorder="1" applyAlignment="1">
      <alignment horizontal="center" vertical="center"/>
    </xf>
    <xf numFmtId="0" fontId="2" fillId="5" borderId="48" xfId="0" applyFont="1" applyFill="1" applyBorder="1" applyAlignment="1">
      <alignment horizontal="center" vertical="center"/>
    </xf>
    <xf numFmtId="0" fontId="2" fillId="5" borderId="44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34" xfId="0" applyFont="1" applyFill="1" applyBorder="1" applyAlignment="1">
      <alignment horizontal="center" vertical="center"/>
    </xf>
    <xf numFmtId="0" fontId="6" fillId="14" borderId="26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3" fontId="5" fillId="0" borderId="22" xfId="0" applyNumberFormat="1" applyFont="1" applyFill="1" applyBorder="1" applyAlignment="1">
      <alignment horizontal="center" vertical="center"/>
    </xf>
    <xf numFmtId="3" fontId="5" fillId="0" borderId="20" xfId="0" applyNumberFormat="1" applyFont="1" applyFill="1" applyBorder="1" applyAlignment="1">
      <alignment horizontal="center" vertical="center"/>
    </xf>
    <xf numFmtId="3" fontId="5" fillId="0" borderId="17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/>
    </xf>
    <xf numFmtId="0" fontId="6" fillId="11" borderId="10" xfId="0" applyFont="1" applyFill="1" applyBorder="1" applyAlignment="1">
      <alignment horizontal="center"/>
    </xf>
    <xf numFmtId="0" fontId="6" fillId="11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11" borderId="38" xfId="0" applyFont="1" applyFill="1" applyBorder="1" applyAlignment="1">
      <alignment horizontal="center"/>
    </xf>
    <xf numFmtId="0" fontId="6" fillId="11" borderId="35" xfId="0" applyFont="1" applyFill="1" applyBorder="1" applyAlignment="1">
      <alignment horizontal="center"/>
    </xf>
    <xf numFmtId="0" fontId="6" fillId="11" borderId="40" xfId="0" applyFont="1" applyFill="1" applyBorder="1" applyAlignment="1">
      <alignment horizontal="center"/>
    </xf>
    <xf numFmtId="0" fontId="6" fillId="12" borderId="38" xfId="0" applyFont="1" applyFill="1" applyBorder="1" applyAlignment="1">
      <alignment horizontal="center"/>
    </xf>
    <xf numFmtId="0" fontId="6" fillId="12" borderId="35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167" fontId="2" fillId="0" borderId="50" xfId="0" applyNumberFormat="1" applyFont="1" applyBorder="1" applyAlignment="1">
      <alignment horizontal="center" vertical="center"/>
    </xf>
    <xf numFmtId="167" fontId="2" fillId="0" borderId="0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right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right" vertical="center"/>
    </xf>
    <xf numFmtId="0" fontId="4" fillId="0" borderId="28" xfId="0" applyFont="1" applyFill="1" applyBorder="1" applyAlignment="1">
      <alignment horizontal="center" vertical="center" wrapText="1"/>
    </xf>
    <xf numFmtId="0" fontId="4" fillId="0" borderId="28" xfId="0" applyFont="1" applyFill="1" applyBorder="1" applyAlignment="1">
      <alignment vertical="center" wrapText="1"/>
    </xf>
    <xf numFmtId="0" fontId="4" fillId="0" borderId="71" xfId="0" applyFont="1" applyFill="1" applyBorder="1" applyAlignment="1">
      <alignment horizontal="center" vertical="center" wrapText="1"/>
    </xf>
    <xf numFmtId="3" fontId="2" fillId="0" borderId="6" xfId="0" applyNumberFormat="1" applyFont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/>
    </xf>
    <xf numFmtId="3" fontId="1" fillId="0" borderId="7" xfId="0" applyNumberFormat="1" applyFont="1" applyBorder="1" applyAlignment="1">
      <alignment horizontal="right"/>
    </xf>
    <xf numFmtId="3" fontId="1" fillId="0" borderId="8" xfId="0" applyNumberFormat="1" applyFont="1" applyBorder="1" applyAlignment="1">
      <alignment horizontal="right"/>
    </xf>
    <xf numFmtId="3" fontId="1" fillId="0" borderId="6" xfId="0" applyNumberFormat="1" applyFont="1" applyBorder="1" applyAlignment="1">
      <alignment horizontal="right" vertical="center"/>
    </xf>
    <xf numFmtId="3" fontId="1" fillId="0" borderId="7" xfId="0" applyNumberFormat="1" applyFont="1" applyBorder="1" applyAlignment="1">
      <alignment horizontal="right" vertical="center"/>
    </xf>
    <xf numFmtId="3" fontId="1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1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81"/>
  <sheetViews>
    <sheetView topLeftCell="A16" workbookViewId="0">
      <selection activeCell="Q65" sqref="Q65"/>
    </sheetView>
  </sheetViews>
  <sheetFormatPr defaultRowHeight="15.6" x14ac:dyDescent="0.3"/>
  <cols>
    <col min="1" max="1" width="3.88671875" style="62" customWidth="1"/>
    <col min="2" max="2" width="19.33203125" style="1" customWidth="1"/>
    <col min="3" max="3" width="27.21875" style="1" customWidth="1"/>
    <col min="4" max="4" width="7.77734375" style="3" customWidth="1"/>
    <col min="5" max="7" width="4.5546875" style="129" customWidth="1"/>
    <col min="8" max="10" width="4.5546875" style="176" customWidth="1"/>
    <col min="11" max="11" width="3.88671875" style="176" customWidth="1"/>
    <col min="12" max="12" width="5.33203125" style="176" customWidth="1"/>
    <col min="13" max="13" width="6.6640625" style="176" customWidth="1"/>
    <col min="14" max="14" width="5.109375" style="176" customWidth="1"/>
    <col min="15" max="15" width="10.88671875" style="1" customWidth="1"/>
    <col min="16" max="17" width="12.5546875" style="1" customWidth="1"/>
    <col min="18" max="18" width="22.21875" style="1" bestFit="1" customWidth="1"/>
    <col min="19" max="16384" width="8.88671875" style="1"/>
  </cols>
  <sheetData>
    <row r="1" spans="1:18" ht="31.2" customHeight="1" thickBot="1" x14ac:dyDescent="0.35">
      <c r="A1" s="154" t="s">
        <v>359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73"/>
      <c r="O1" s="173"/>
      <c r="P1" s="173"/>
      <c r="Q1" s="173"/>
    </row>
    <row r="2" spans="1:18" s="3" customFormat="1" ht="16.2" thickBot="1" x14ac:dyDescent="0.35">
      <c r="A2" s="414" t="s">
        <v>0</v>
      </c>
      <c r="B2" s="416" t="s">
        <v>1</v>
      </c>
      <c r="C2" s="416" t="s">
        <v>79</v>
      </c>
      <c r="D2" s="418" t="s">
        <v>358</v>
      </c>
      <c r="E2" s="22">
        <v>23</v>
      </c>
      <c r="F2" s="23">
        <f t="shared" ref="F2:J2" si="0">E2+1</f>
        <v>24</v>
      </c>
      <c r="G2" s="23">
        <f t="shared" si="0"/>
        <v>25</v>
      </c>
      <c r="H2" s="34">
        <f t="shared" si="0"/>
        <v>26</v>
      </c>
      <c r="I2" s="23">
        <f t="shared" si="0"/>
        <v>27</v>
      </c>
      <c r="J2" s="23">
        <f t="shared" si="0"/>
        <v>28</v>
      </c>
      <c r="K2" s="24">
        <v>1</v>
      </c>
      <c r="L2" s="420" t="s">
        <v>6</v>
      </c>
      <c r="M2" s="422" t="s">
        <v>7</v>
      </c>
      <c r="N2" s="408" t="s">
        <v>357</v>
      </c>
      <c r="O2" s="410" t="s">
        <v>30</v>
      </c>
      <c r="P2" s="410" t="s">
        <v>33</v>
      </c>
      <c r="Q2" s="412" t="s">
        <v>127</v>
      </c>
    </row>
    <row r="3" spans="1:18" s="3" customFormat="1" ht="16.2" thickBot="1" x14ac:dyDescent="0.35">
      <c r="A3" s="415"/>
      <c r="B3" s="417"/>
      <c r="C3" s="417"/>
      <c r="D3" s="419"/>
      <c r="E3" s="125" t="s">
        <v>94</v>
      </c>
      <c r="F3" s="126" t="s">
        <v>95</v>
      </c>
      <c r="G3" s="126" t="s">
        <v>97</v>
      </c>
      <c r="H3" s="126" t="s">
        <v>96</v>
      </c>
      <c r="I3" s="126" t="s">
        <v>98</v>
      </c>
      <c r="J3" s="24" t="s">
        <v>99</v>
      </c>
      <c r="K3" s="24" t="s">
        <v>93</v>
      </c>
      <c r="L3" s="421"/>
      <c r="M3" s="423"/>
      <c r="N3" s="409"/>
      <c r="O3" s="411"/>
      <c r="P3" s="411"/>
      <c r="Q3" s="413"/>
    </row>
    <row r="4" spans="1:18" s="3" customFormat="1" x14ac:dyDescent="0.3">
      <c r="A4" s="130">
        <v>1</v>
      </c>
      <c r="B4" s="131" t="s">
        <v>2</v>
      </c>
      <c r="C4" s="132">
        <f>SUBTOTAL(103,C5:C23)</f>
        <v>15</v>
      </c>
      <c r="D4" s="133" t="s">
        <v>128</v>
      </c>
      <c r="E4" s="134" t="s">
        <v>9</v>
      </c>
      <c r="F4" s="135" t="s">
        <v>9</v>
      </c>
      <c r="G4" s="135" t="s">
        <v>9</v>
      </c>
      <c r="H4" s="136" t="s">
        <v>9</v>
      </c>
      <c r="I4" s="135" t="s">
        <v>9</v>
      </c>
      <c r="J4" s="135" t="s">
        <v>9</v>
      </c>
      <c r="K4" s="137" t="s">
        <v>9</v>
      </c>
      <c r="L4" s="122">
        <f>COUNTIF(E4:K4,"X")</f>
        <v>7</v>
      </c>
      <c r="M4" s="123">
        <f>COUNTIF(E4:I4,"X/2")/2</f>
        <v>0</v>
      </c>
      <c r="N4" s="87">
        <f t="shared" ref="N4:N53" si="1">SUM(L4:M4)</f>
        <v>7</v>
      </c>
      <c r="O4" s="124">
        <v>550000</v>
      </c>
      <c r="P4" s="88">
        <f t="shared" ref="P4:P63" si="2">N4*O4</f>
        <v>3850000</v>
      </c>
      <c r="Q4" s="164">
        <v>500000</v>
      </c>
    </row>
    <row r="5" spans="1:18" s="31" customFormat="1" x14ac:dyDescent="0.3">
      <c r="A5" s="61">
        <v>2</v>
      </c>
      <c r="B5" s="28" t="s">
        <v>36</v>
      </c>
      <c r="C5" s="48" t="s">
        <v>60</v>
      </c>
      <c r="D5" s="90" t="s">
        <v>4</v>
      </c>
      <c r="E5" s="41"/>
      <c r="F5" s="21"/>
      <c r="G5" s="21"/>
      <c r="H5" s="35"/>
      <c r="I5" s="21" t="s">
        <v>9</v>
      </c>
      <c r="J5" s="21" t="s">
        <v>9</v>
      </c>
      <c r="K5" s="25" t="s">
        <v>9</v>
      </c>
      <c r="L5" s="51">
        <f>COUNTIF(E5:K5,"X")</f>
        <v>3</v>
      </c>
      <c r="M5" s="78">
        <f>COUNTIF(E5:K5,"X/2")/2</f>
        <v>0</v>
      </c>
      <c r="N5" s="79">
        <f t="shared" si="1"/>
        <v>3</v>
      </c>
      <c r="O5" s="52">
        <v>380000</v>
      </c>
      <c r="P5" s="77">
        <f t="shared" si="2"/>
        <v>1140000</v>
      </c>
      <c r="Q5" s="50"/>
    </row>
    <row r="6" spans="1:18" s="31" customFormat="1" x14ac:dyDescent="0.3">
      <c r="A6" s="61">
        <f>A5+1</f>
        <v>3</v>
      </c>
      <c r="B6" s="28" t="s">
        <v>44</v>
      </c>
      <c r="C6" s="48"/>
      <c r="D6" s="90" t="s">
        <v>4</v>
      </c>
      <c r="E6" s="41"/>
      <c r="F6" s="21"/>
      <c r="G6" s="21"/>
      <c r="H6" s="35"/>
      <c r="I6" s="21"/>
      <c r="J6" s="21"/>
      <c r="K6" s="25"/>
      <c r="L6" s="51">
        <f t="shared" ref="L6:L53" si="3">COUNTIF(E6:K6,"X")</f>
        <v>0</v>
      </c>
      <c r="M6" s="78">
        <f t="shared" ref="M6:M53" si="4">COUNTIF(E6:K6,"X/2")/2</f>
        <v>0</v>
      </c>
      <c r="N6" s="79">
        <f t="shared" si="1"/>
        <v>0</v>
      </c>
      <c r="O6" s="52">
        <v>360000</v>
      </c>
      <c r="P6" s="77">
        <f t="shared" si="2"/>
        <v>0</v>
      </c>
      <c r="Q6" s="50"/>
      <c r="R6" s="31" t="s">
        <v>163</v>
      </c>
    </row>
    <row r="7" spans="1:18" s="31" customFormat="1" x14ac:dyDescent="0.3">
      <c r="A7" s="61">
        <f t="shared" ref="A7:A15" si="5">A6+1</f>
        <v>4</v>
      </c>
      <c r="B7" s="28" t="s">
        <v>35</v>
      </c>
      <c r="C7" s="48" t="s">
        <v>80</v>
      </c>
      <c r="D7" s="90" t="s">
        <v>4</v>
      </c>
      <c r="E7" s="41"/>
      <c r="F7" s="21"/>
      <c r="G7" s="21"/>
      <c r="H7" s="35"/>
      <c r="I7" s="21" t="s">
        <v>9</v>
      </c>
      <c r="J7" s="21" t="s">
        <v>9</v>
      </c>
      <c r="K7" s="25" t="s">
        <v>9</v>
      </c>
      <c r="L7" s="51">
        <f t="shared" si="3"/>
        <v>3</v>
      </c>
      <c r="M7" s="78">
        <f t="shared" si="4"/>
        <v>0</v>
      </c>
      <c r="N7" s="79">
        <f t="shared" si="1"/>
        <v>3</v>
      </c>
      <c r="O7" s="52">
        <v>370000</v>
      </c>
      <c r="P7" s="77">
        <f t="shared" si="2"/>
        <v>1110000</v>
      </c>
      <c r="Q7" s="50"/>
    </row>
    <row r="8" spans="1:18" s="31" customFormat="1" x14ac:dyDescent="0.3">
      <c r="A8" s="61">
        <f t="shared" si="5"/>
        <v>5</v>
      </c>
      <c r="B8" s="28" t="s">
        <v>37</v>
      </c>
      <c r="C8" s="48" t="s">
        <v>60</v>
      </c>
      <c r="D8" s="90" t="s">
        <v>4</v>
      </c>
      <c r="E8" s="41" t="s">
        <v>8</v>
      </c>
      <c r="F8" s="21" t="s">
        <v>9</v>
      </c>
      <c r="G8" s="21"/>
      <c r="H8" s="35" t="s">
        <v>9</v>
      </c>
      <c r="I8" s="21" t="s">
        <v>9</v>
      </c>
      <c r="J8" s="21" t="s">
        <v>9</v>
      </c>
      <c r="K8" s="25"/>
      <c r="L8" s="51">
        <f t="shared" si="3"/>
        <v>4</v>
      </c>
      <c r="M8" s="78">
        <f t="shared" si="4"/>
        <v>0.5</v>
      </c>
      <c r="N8" s="79">
        <f t="shared" si="1"/>
        <v>4.5</v>
      </c>
      <c r="O8" s="52">
        <v>370000</v>
      </c>
      <c r="P8" s="77">
        <f t="shared" si="2"/>
        <v>1665000</v>
      </c>
      <c r="Q8" s="164"/>
    </row>
    <row r="9" spans="1:18" s="31" customFormat="1" x14ac:dyDescent="0.3">
      <c r="A9" s="61">
        <f t="shared" si="5"/>
        <v>6</v>
      </c>
      <c r="B9" s="28" t="s">
        <v>38</v>
      </c>
      <c r="C9" s="48" t="s">
        <v>80</v>
      </c>
      <c r="D9" s="90" t="s">
        <v>17</v>
      </c>
      <c r="E9" s="41"/>
      <c r="F9" s="21"/>
      <c r="G9" s="21"/>
      <c r="H9" s="35"/>
      <c r="I9" s="21"/>
      <c r="J9" s="21"/>
      <c r="K9" s="25" t="s">
        <v>9</v>
      </c>
      <c r="L9" s="51">
        <f t="shared" si="3"/>
        <v>1</v>
      </c>
      <c r="M9" s="78">
        <f t="shared" si="4"/>
        <v>0</v>
      </c>
      <c r="N9" s="79">
        <f t="shared" si="1"/>
        <v>1</v>
      </c>
      <c r="O9" s="52">
        <v>350000</v>
      </c>
      <c r="P9" s="77">
        <f t="shared" si="2"/>
        <v>350000</v>
      </c>
      <c r="Q9" s="50"/>
    </row>
    <row r="10" spans="1:18" s="31" customFormat="1" x14ac:dyDescent="0.3">
      <c r="A10" s="61">
        <f t="shared" si="5"/>
        <v>7</v>
      </c>
      <c r="B10" s="28" t="s">
        <v>145</v>
      </c>
      <c r="C10" s="48" t="s">
        <v>60</v>
      </c>
      <c r="D10" s="90" t="s">
        <v>5</v>
      </c>
      <c r="E10" s="41"/>
      <c r="F10" s="21"/>
      <c r="G10" s="21" t="s">
        <v>9</v>
      </c>
      <c r="H10" s="35" t="s">
        <v>9</v>
      </c>
      <c r="I10" s="21" t="s">
        <v>9</v>
      </c>
      <c r="J10" s="21" t="s">
        <v>9</v>
      </c>
      <c r="K10" s="25"/>
      <c r="L10" s="51">
        <f t="shared" si="3"/>
        <v>4</v>
      </c>
      <c r="M10" s="78">
        <f t="shared" si="4"/>
        <v>0</v>
      </c>
      <c r="N10" s="79">
        <f t="shared" si="1"/>
        <v>4</v>
      </c>
      <c r="O10" s="52">
        <v>320000</v>
      </c>
      <c r="P10" s="77">
        <f t="shared" si="2"/>
        <v>1280000</v>
      </c>
      <c r="Q10" s="50"/>
    </row>
    <row r="11" spans="1:18" s="31" customFormat="1" x14ac:dyDescent="0.3">
      <c r="A11" s="61">
        <f t="shared" si="5"/>
        <v>8</v>
      </c>
      <c r="B11" s="28" t="s">
        <v>34</v>
      </c>
      <c r="C11" s="48" t="s">
        <v>80</v>
      </c>
      <c r="D11" s="90" t="s">
        <v>5</v>
      </c>
      <c r="E11" s="41"/>
      <c r="F11" s="21"/>
      <c r="G11" s="21"/>
      <c r="H11" s="35"/>
      <c r="I11" s="21"/>
      <c r="J11" s="21"/>
      <c r="K11" s="25"/>
      <c r="L11" s="51">
        <f t="shared" si="3"/>
        <v>0</v>
      </c>
      <c r="M11" s="78">
        <f t="shared" si="4"/>
        <v>0</v>
      </c>
      <c r="N11" s="79">
        <f t="shared" si="1"/>
        <v>0</v>
      </c>
      <c r="O11" s="52">
        <v>300000</v>
      </c>
      <c r="P11" s="77">
        <f t="shared" si="2"/>
        <v>0</v>
      </c>
      <c r="Q11" s="50"/>
    </row>
    <row r="12" spans="1:18" s="31" customFormat="1" x14ac:dyDescent="0.3">
      <c r="A12" s="61">
        <f t="shared" si="5"/>
        <v>9</v>
      </c>
      <c r="B12" s="28" t="s">
        <v>46</v>
      </c>
      <c r="C12" s="48" t="s">
        <v>60</v>
      </c>
      <c r="D12" s="90" t="s">
        <v>5</v>
      </c>
      <c r="E12" s="41" t="s">
        <v>9</v>
      </c>
      <c r="F12" s="21" t="s">
        <v>9</v>
      </c>
      <c r="G12" s="21" t="s">
        <v>9</v>
      </c>
      <c r="H12" s="35" t="s">
        <v>9</v>
      </c>
      <c r="I12" s="21" t="s">
        <v>9</v>
      </c>
      <c r="J12" s="21" t="s">
        <v>9</v>
      </c>
      <c r="K12" s="25" t="s">
        <v>9</v>
      </c>
      <c r="L12" s="51">
        <f t="shared" si="3"/>
        <v>7</v>
      </c>
      <c r="M12" s="78">
        <f t="shared" si="4"/>
        <v>0</v>
      </c>
      <c r="N12" s="79">
        <f t="shared" si="1"/>
        <v>7</v>
      </c>
      <c r="O12" s="52">
        <v>360000</v>
      </c>
      <c r="P12" s="77">
        <f t="shared" si="2"/>
        <v>2520000</v>
      </c>
      <c r="Q12" s="50"/>
    </row>
    <row r="13" spans="1:18" s="31" customFormat="1" x14ac:dyDescent="0.3">
      <c r="A13" s="61">
        <f t="shared" si="5"/>
        <v>10</v>
      </c>
      <c r="B13" s="28" t="s">
        <v>42</v>
      </c>
      <c r="C13" s="48" t="s">
        <v>80</v>
      </c>
      <c r="D13" s="90" t="s">
        <v>4</v>
      </c>
      <c r="E13" s="41"/>
      <c r="F13" s="21" t="s">
        <v>9</v>
      </c>
      <c r="G13" s="21" t="s">
        <v>9</v>
      </c>
      <c r="H13" s="35" t="s">
        <v>9</v>
      </c>
      <c r="I13" s="21"/>
      <c r="J13" s="21" t="s">
        <v>9</v>
      </c>
      <c r="K13" s="25" t="s">
        <v>9</v>
      </c>
      <c r="L13" s="51">
        <f t="shared" si="3"/>
        <v>5</v>
      </c>
      <c r="M13" s="78">
        <f t="shared" si="4"/>
        <v>0</v>
      </c>
      <c r="N13" s="79">
        <f t="shared" si="1"/>
        <v>5</v>
      </c>
      <c r="O13" s="52">
        <v>400000</v>
      </c>
      <c r="P13" s="77">
        <f t="shared" si="2"/>
        <v>2000000</v>
      </c>
      <c r="Q13" s="50"/>
    </row>
    <row r="14" spans="1:18" s="31" customFormat="1" x14ac:dyDescent="0.3">
      <c r="A14" s="61">
        <v>11</v>
      </c>
      <c r="B14" s="28" t="s">
        <v>43</v>
      </c>
      <c r="C14" s="48" t="s">
        <v>80</v>
      </c>
      <c r="D14" s="90" t="s">
        <v>5</v>
      </c>
      <c r="E14" s="41"/>
      <c r="F14" s="21" t="s">
        <v>9</v>
      </c>
      <c r="G14" s="21" t="s">
        <v>9</v>
      </c>
      <c r="H14" s="35" t="s">
        <v>9</v>
      </c>
      <c r="I14" s="21" t="s">
        <v>9</v>
      </c>
      <c r="J14" s="21" t="s">
        <v>9</v>
      </c>
      <c r="K14" s="25"/>
      <c r="L14" s="51">
        <f t="shared" si="3"/>
        <v>5</v>
      </c>
      <c r="M14" s="78">
        <f t="shared" si="4"/>
        <v>0</v>
      </c>
      <c r="N14" s="79">
        <f t="shared" si="1"/>
        <v>5</v>
      </c>
      <c r="O14" s="52">
        <v>280000</v>
      </c>
      <c r="P14" s="77">
        <f t="shared" si="2"/>
        <v>1400000</v>
      </c>
      <c r="Q14" s="50"/>
    </row>
    <row r="15" spans="1:18" s="31" customFormat="1" x14ac:dyDescent="0.3">
      <c r="A15" s="61">
        <f t="shared" si="5"/>
        <v>12</v>
      </c>
      <c r="B15" s="28" t="s">
        <v>41</v>
      </c>
      <c r="C15" s="48" t="s">
        <v>80</v>
      </c>
      <c r="D15" s="90" t="s">
        <v>4</v>
      </c>
      <c r="E15" s="41"/>
      <c r="F15" s="21"/>
      <c r="G15" s="21"/>
      <c r="H15" s="35"/>
      <c r="I15" s="21"/>
      <c r="J15" s="21" t="s">
        <v>8</v>
      </c>
      <c r="K15" s="25" t="s">
        <v>9</v>
      </c>
      <c r="L15" s="51">
        <f t="shared" si="3"/>
        <v>1</v>
      </c>
      <c r="M15" s="78">
        <f t="shared" si="4"/>
        <v>0.5</v>
      </c>
      <c r="N15" s="79">
        <f t="shared" si="1"/>
        <v>1.5</v>
      </c>
      <c r="O15" s="52">
        <v>400000</v>
      </c>
      <c r="P15" s="77">
        <f t="shared" si="2"/>
        <v>600000</v>
      </c>
      <c r="Q15" s="50"/>
    </row>
    <row r="16" spans="1:18" s="31" customFormat="1" x14ac:dyDescent="0.3">
      <c r="A16" s="61">
        <f>A15+1</f>
        <v>13</v>
      </c>
      <c r="B16" s="28" t="s">
        <v>47</v>
      </c>
      <c r="C16" s="48"/>
      <c r="D16" s="90" t="s">
        <v>4</v>
      </c>
      <c r="E16" s="41"/>
      <c r="F16" s="21"/>
      <c r="G16" s="21" t="s">
        <v>9</v>
      </c>
      <c r="H16" s="35" t="s">
        <v>9</v>
      </c>
      <c r="I16" s="21" t="s">
        <v>9</v>
      </c>
      <c r="J16" s="21" t="s">
        <v>9</v>
      </c>
      <c r="K16" s="25"/>
      <c r="L16" s="51">
        <f t="shared" si="3"/>
        <v>4</v>
      </c>
      <c r="M16" s="78">
        <f t="shared" si="4"/>
        <v>0</v>
      </c>
      <c r="N16" s="79">
        <f t="shared" si="1"/>
        <v>4</v>
      </c>
      <c r="O16" s="52">
        <v>390000</v>
      </c>
      <c r="P16" s="52">
        <f t="shared" si="2"/>
        <v>1560000</v>
      </c>
      <c r="Q16" s="50"/>
    </row>
    <row r="17" spans="1:17" s="31" customFormat="1" x14ac:dyDescent="0.3">
      <c r="A17" s="61">
        <v>14</v>
      </c>
      <c r="B17" s="28" t="s">
        <v>61</v>
      </c>
      <c r="C17" s="48" t="s">
        <v>60</v>
      </c>
      <c r="D17" s="92" t="s">
        <v>4</v>
      </c>
      <c r="E17" s="41"/>
      <c r="F17" s="21" t="s">
        <v>9</v>
      </c>
      <c r="G17" s="21" t="s">
        <v>9</v>
      </c>
      <c r="H17" s="35" t="s">
        <v>9</v>
      </c>
      <c r="I17" s="21" t="s">
        <v>9</v>
      </c>
      <c r="J17" s="21" t="s">
        <v>9</v>
      </c>
      <c r="K17" s="25" t="s">
        <v>9</v>
      </c>
      <c r="L17" s="51">
        <f t="shared" si="3"/>
        <v>6</v>
      </c>
      <c r="M17" s="78">
        <f t="shared" si="4"/>
        <v>0</v>
      </c>
      <c r="N17" s="79">
        <f t="shared" si="1"/>
        <v>6</v>
      </c>
      <c r="O17" s="53">
        <v>370000</v>
      </c>
      <c r="P17" s="77">
        <f t="shared" si="2"/>
        <v>2220000</v>
      </c>
      <c r="Q17" s="50"/>
    </row>
    <row r="18" spans="1:17" s="31" customFormat="1" x14ac:dyDescent="0.3">
      <c r="A18" s="61">
        <v>15</v>
      </c>
      <c r="B18" s="28" t="s">
        <v>62</v>
      </c>
      <c r="C18" s="48"/>
      <c r="D18" s="92" t="s">
        <v>4</v>
      </c>
      <c r="E18" s="41"/>
      <c r="F18" s="21"/>
      <c r="G18" s="21"/>
      <c r="H18" s="35"/>
      <c r="I18" s="21"/>
      <c r="J18" s="21"/>
      <c r="K18" s="25"/>
      <c r="L18" s="51">
        <f t="shared" si="3"/>
        <v>0</v>
      </c>
      <c r="M18" s="78">
        <f t="shared" si="4"/>
        <v>0</v>
      </c>
      <c r="N18" s="79">
        <f t="shared" si="1"/>
        <v>0</v>
      </c>
      <c r="O18" s="53">
        <v>360000</v>
      </c>
      <c r="P18" s="77">
        <f t="shared" si="2"/>
        <v>0</v>
      </c>
      <c r="Q18" s="50"/>
    </row>
    <row r="19" spans="1:17" s="31" customFormat="1" x14ac:dyDescent="0.3">
      <c r="A19" s="61">
        <v>16</v>
      </c>
      <c r="B19" s="28" t="s">
        <v>63</v>
      </c>
      <c r="C19" s="48" t="s">
        <v>60</v>
      </c>
      <c r="D19" s="92" t="s">
        <v>4</v>
      </c>
      <c r="E19" s="41"/>
      <c r="F19" s="21"/>
      <c r="G19" s="21"/>
      <c r="H19" s="35"/>
      <c r="I19" s="21" t="s">
        <v>9</v>
      </c>
      <c r="J19" s="21" t="s">
        <v>9</v>
      </c>
      <c r="K19" s="25"/>
      <c r="L19" s="51">
        <f t="shared" si="3"/>
        <v>2</v>
      </c>
      <c r="M19" s="78">
        <f t="shared" si="4"/>
        <v>0</v>
      </c>
      <c r="N19" s="79">
        <f t="shared" si="1"/>
        <v>2</v>
      </c>
      <c r="O19" s="53">
        <v>380000</v>
      </c>
      <c r="P19" s="77">
        <f t="shared" si="2"/>
        <v>760000</v>
      </c>
      <c r="Q19" s="50"/>
    </row>
    <row r="20" spans="1:17" s="31" customFormat="1" x14ac:dyDescent="0.3">
      <c r="A20" s="61">
        <v>17</v>
      </c>
      <c r="B20" s="28" t="s">
        <v>59</v>
      </c>
      <c r="C20" s="48" t="s">
        <v>60</v>
      </c>
      <c r="D20" s="92" t="s">
        <v>5</v>
      </c>
      <c r="E20" s="41"/>
      <c r="F20" s="21"/>
      <c r="G20" s="21"/>
      <c r="H20" s="35"/>
      <c r="I20" s="21"/>
      <c r="J20" s="21"/>
      <c r="K20" s="25"/>
      <c r="L20" s="51">
        <f t="shared" si="3"/>
        <v>0</v>
      </c>
      <c r="M20" s="78">
        <f t="shared" si="4"/>
        <v>0</v>
      </c>
      <c r="N20" s="79">
        <f t="shared" si="1"/>
        <v>0</v>
      </c>
      <c r="O20" s="53">
        <v>270000</v>
      </c>
      <c r="P20" s="77">
        <f t="shared" si="2"/>
        <v>0</v>
      </c>
      <c r="Q20" s="50"/>
    </row>
    <row r="21" spans="1:17" s="31" customFormat="1" x14ac:dyDescent="0.3">
      <c r="A21" s="61">
        <v>18</v>
      </c>
      <c r="B21" s="28" t="s">
        <v>64</v>
      </c>
      <c r="C21" s="48" t="s">
        <v>60</v>
      </c>
      <c r="D21" s="92" t="s">
        <v>4</v>
      </c>
      <c r="E21" s="41" t="s">
        <v>8</v>
      </c>
      <c r="F21" s="21" t="s">
        <v>9</v>
      </c>
      <c r="G21" s="21" t="s">
        <v>9</v>
      </c>
      <c r="H21" s="35" t="s">
        <v>9</v>
      </c>
      <c r="I21" s="21"/>
      <c r="J21" s="21" t="s">
        <v>9</v>
      </c>
      <c r="K21" s="25"/>
      <c r="L21" s="51">
        <f t="shared" si="3"/>
        <v>4</v>
      </c>
      <c r="M21" s="78">
        <f t="shared" si="4"/>
        <v>0.5</v>
      </c>
      <c r="N21" s="79">
        <f t="shared" si="1"/>
        <v>4.5</v>
      </c>
      <c r="O21" s="53">
        <v>380000</v>
      </c>
      <c r="P21" s="77">
        <f t="shared" si="2"/>
        <v>1710000</v>
      </c>
      <c r="Q21" s="50"/>
    </row>
    <row r="22" spans="1:17" s="55" customFormat="1" x14ac:dyDescent="0.3">
      <c r="A22" s="61">
        <v>19</v>
      </c>
      <c r="B22" s="158" t="s">
        <v>65</v>
      </c>
      <c r="C22" s="29" t="s">
        <v>60</v>
      </c>
      <c r="D22" s="92" t="s">
        <v>4</v>
      </c>
      <c r="E22" s="41"/>
      <c r="F22" s="21"/>
      <c r="G22" s="21"/>
      <c r="H22" s="35"/>
      <c r="I22" s="21"/>
      <c r="J22" s="21"/>
      <c r="K22" s="25"/>
      <c r="L22" s="51">
        <f t="shared" si="3"/>
        <v>0</v>
      </c>
      <c r="M22" s="78">
        <f t="shared" si="4"/>
        <v>0</v>
      </c>
      <c r="N22" s="79">
        <f t="shared" si="1"/>
        <v>0</v>
      </c>
      <c r="O22" s="53">
        <v>370000</v>
      </c>
      <c r="P22" s="77">
        <f t="shared" si="2"/>
        <v>0</v>
      </c>
      <c r="Q22" s="30"/>
    </row>
    <row r="23" spans="1:17" s="31" customFormat="1" x14ac:dyDescent="0.3">
      <c r="A23" s="61">
        <v>20</v>
      </c>
      <c r="B23" s="48" t="s">
        <v>126</v>
      </c>
      <c r="C23" s="48"/>
      <c r="D23" s="91" t="s">
        <v>5</v>
      </c>
      <c r="E23" s="41"/>
      <c r="F23" s="21"/>
      <c r="G23" s="21"/>
      <c r="H23" s="35"/>
      <c r="I23" s="21"/>
      <c r="J23" s="21"/>
      <c r="K23" s="25"/>
      <c r="L23" s="51">
        <f t="shared" si="3"/>
        <v>0</v>
      </c>
      <c r="M23" s="78">
        <f t="shared" si="4"/>
        <v>0</v>
      </c>
      <c r="N23" s="79">
        <f t="shared" si="1"/>
        <v>0</v>
      </c>
      <c r="O23" s="52">
        <v>280000</v>
      </c>
      <c r="P23" s="77">
        <f t="shared" si="2"/>
        <v>0</v>
      </c>
      <c r="Q23" s="50"/>
    </row>
    <row r="24" spans="1:17" s="31" customFormat="1" x14ac:dyDescent="0.3">
      <c r="A24" s="61">
        <v>21</v>
      </c>
      <c r="B24" s="116" t="s">
        <v>143</v>
      </c>
      <c r="C24" s="116"/>
      <c r="D24" s="117" t="s">
        <v>4</v>
      </c>
      <c r="E24" s="41"/>
      <c r="F24" s="21" t="s">
        <v>9</v>
      </c>
      <c r="G24" s="21" t="s">
        <v>9</v>
      </c>
      <c r="H24" s="35" t="s">
        <v>9</v>
      </c>
      <c r="I24" s="21" t="s">
        <v>9</v>
      </c>
      <c r="J24" s="21" t="s">
        <v>9</v>
      </c>
      <c r="K24" s="25" t="s">
        <v>9</v>
      </c>
      <c r="L24" s="51">
        <f t="shared" si="3"/>
        <v>6</v>
      </c>
      <c r="M24" s="78">
        <f t="shared" si="4"/>
        <v>0</v>
      </c>
      <c r="N24" s="79">
        <f t="shared" si="1"/>
        <v>6</v>
      </c>
      <c r="O24" s="53">
        <v>380000</v>
      </c>
      <c r="P24" s="77">
        <f t="shared" si="2"/>
        <v>2280000</v>
      </c>
      <c r="Q24" s="86"/>
    </row>
    <row r="25" spans="1:17" s="31" customFormat="1" x14ac:dyDescent="0.3">
      <c r="A25" s="61">
        <v>22</v>
      </c>
      <c r="B25" s="116" t="s">
        <v>144</v>
      </c>
      <c r="C25" s="116"/>
      <c r="D25" s="117" t="s">
        <v>4</v>
      </c>
      <c r="E25" s="41"/>
      <c r="F25" s="21"/>
      <c r="G25" s="21" t="s">
        <v>9</v>
      </c>
      <c r="H25" s="35" t="s">
        <v>9</v>
      </c>
      <c r="I25" s="21" t="s">
        <v>9</v>
      </c>
      <c r="J25" s="21" t="s">
        <v>9</v>
      </c>
      <c r="K25" s="25" t="s">
        <v>9</v>
      </c>
      <c r="L25" s="51">
        <f t="shared" si="3"/>
        <v>5</v>
      </c>
      <c r="M25" s="78">
        <f t="shared" si="4"/>
        <v>0</v>
      </c>
      <c r="N25" s="79">
        <f t="shared" si="1"/>
        <v>5</v>
      </c>
      <c r="O25" s="53">
        <v>280000</v>
      </c>
      <c r="P25" s="77">
        <f t="shared" si="2"/>
        <v>1400000</v>
      </c>
      <c r="Q25" s="86"/>
    </row>
    <row r="26" spans="1:17" s="31" customFormat="1" x14ac:dyDescent="0.3">
      <c r="A26" s="61">
        <v>23</v>
      </c>
      <c r="B26" s="116" t="s">
        <v>164</v>
      </c>
      <c r="C26" s="116"/>
      <c r="D26" s="117" t="s">
        <v>5</v>
      </c>
      <c r="E26" s="127"/>
      <c r="F26" s="21"/>
      <c r="G26" s="21"/>
      <c r="H26" s="35"/>
      <c r="I26" s="21"/>
      <c r="J26" s="21"/>
      <c r="K26" s="25"/>
      <c r="L26" s="51">
        <f t="shared" si="3"/>
        <v>0</v>
      </c>
      <c r="M26" s="78">
        <f t="shared" si="4"/>
        <v>0</v>
      </c>
      <c r="N26" s="79">
        <f t="shared" si="1"/>
        <v>0</v>
      </c>
      <c r="O26" s="53">
        <v>270000</v>
      </c>
      <c r="P26" s="77">
        <f t="shared" si="2"/>
        <v>0</v>
      </c>
      <c r="Q26" s="86"/>
    </row>
    <row r="27" spans="1:17" s="31" customFormat="1" x14ac:dyDescent="0.3">
      <c r="A27" s="61">
        <v>24</v>
      </c>
      <c r="B27" s="116" t="s">
        <v>171</v>
      </c>
      <c r="C27" s="116"/>
      <c r="D27" s="117" t="s">
        <v>5</v>
      </c>
      <c r="E27" s="127"/>
      <c r="F27" s="21"/>
      <c r="G27" s="21" t="s">
        <v>9</v>
      </c>
      <c r="H27" s="35" t="s">
        <v>9</v>
      </c>
      <c r="I27" s="21" t="s">
        <v>9</v>
      </c>
      <c r="J27" s="21" t="s">
        <v>9</v>
      </c>
      <c r="K27" s="25"/>
      <c r="L27" s="51">
        <f t="shared" si="3"/>
        <v>4</v>
      </c>
      <c r="M27" s="78">
        <f t="shared" si="4"/>
        <v>0</v>
      </c>
      <c r="N27" s="139">
        <f t="shared" si="1"/>
        <v>4</v>
      </c>
      <c r="O27" s="53">
        <v>280000</v>
      </c>
      <c r="P27" s="54">
        <f t="shared" si="2"/>
        <v>1120000</v>
      </c>
      <c r="Q27" s="86"/>
    </row>
    <row r="28" spans="1:17" s="31" customFormat="1" x14ac:dyDescent="0.3">
      <c r="A28" s="61">
        <v>25</v>
      </c>
      <c r="B28" s="116" t="s">
        <v>172</v>
      </c>
      <c r="C28" s="116"/>
      <c r="D28" s="117" t="s">
        <v>4</v>
      </c>
      <c r="E28" s="21"/>
      <c r="F28" s="21"/>
      <c r="G28" s="35"/>
      <c r="H28" s="21"/>
      <c r="I28" s="21"/>
      <c r="J28" s="21"/>
      <c r="K28" s="33"/>
      <c r="L28" s="51">
        <f t="shared" si="3"/>
        <v>0</v>
      </c>
      <c r="M28" s="78">
        <f t="shared" si="4"/>
        <v>0</v>
      </c>
      <c r="N28" s="139">
        <f t="shared" si="1"/>
        <v>0</v>
      </c>
      <c r="O28" s="53">
        <v>370000</v>
      </c>
      <c r="P28" s="54">
        <f t="shared" si="2"/>
        <v>0</v>
      </c>
      <c r="Q28" s="86"/>
    </row>
    <row r="29" spans="1:17" s="31" customFormat="1" x14ac:dyDescent="0.3">
      <c r="A29" s="61">
        <v>26</v>
      </c>
      <c r="B29" s="116" t="s">
        <v>186</v>
      </c>
      <c r="C29" s="116"/>
      <c r="D29" s="117" t="s">
        <v>5</v>
      </c>
      <c r="E29" s="127"/>
      <c r="F29" s="32"/>
      <c r="G29" s="32"/>
      <c r="H29" s="36"/>
      <c r="I29" s="32"/>
      <c r="J29" s="32"/>
      <c r="K29" s="33"/>
      <c r="L29" s="51">
        <f t="shared" si="3"/>
        <v>0</v>
      </c>
      <c r="M29" s="78">
        <f t="shared" si="4"/>
        <v>0</v>
      </c>
      <c r="N29" s="139">
        <f t="shared" si="1"/>
        <v>0</v>
      </c>
      <c r="O29" s="53">
        <v>260000</v>
      </c>
      <c r="P29" s="54">
        <f t="shared" si="2"/>
        <v>0</v>
      </c>
      <c r="Q29" s="86"/>
    </row>
    <row r="30" spans="1:17" s="31" customFormat="1" x14ac:dyDescent="0.3">
      <c r="A30" s="61">
        <v>27</v>
      </c>
      <c r="B30" s="116" t="s">
        <v>194</v>
      </c>
      <c r="C30" s="116"/>
      <c r="D30" s="117" t="s">
        <v>4</v>
      </c>
      <c r="E30" s="127"/>
      <c r="F30" s="32" t="s">
        <v>9</v>
      </c>
      <c r="G30" s="32" t="s">
        <v>9</v>
      </c>
      <c r="H30" s="36" t="s">
        <v>9</v>
      </c>
      <c r="I30" s="32" t="s">
        <v>9</v>
      </c>
      <c r="J30" s="32" t="s">
        <v>9</v>
      </c>
      <c r="K30" s="33" t="s">
        <v>9</v>
      </c>
      <c r="L30" s="51">
        <f t="shared" si="3"/>
        <v>6</v>
      </c>
      <c r="M30" s="78">
        <f t="shared" si="4"/>
        <v>0</v>
      </c>
      <c r="N30" s="139">
        <f t="shared" si="1"/>
        <v>6</v>
      </c>
      <c r="O30" s="53">
        <v>380000</v>
      </c>
      <c r="P30" s="54">
        <f t="shared" si="2"/>
        <v>2280000</v>
      </c>
      <c r="Q30" s="86"/>
    </row>
    <row r="31" spans="1:17" s="31" customFormat="1" x14ac:dyDescent="0.3">
      <c r="A31" s="61">
        <v>28</v>
      </c>
      <c r="B31" s="116" t="s">
        <v>220</v>
      </c>
      <c r="C31" s="116"/>
      <c r="D31" s="117" t="s">
        <v>4</v>
      </c>
      <c r="E31" s="127"/>
      <c r="F31" s="32"/>
      <c r="G31" s="32" t="s">
        <v>9</v>
      </c>
      <c r="H31" s="36" t="s">
        <v>9</v>
      </c>
      <c r="I31" s="32" t="s">
        <v>9</v>
      </c>
      <c r="J31" s="32" t="s">
        <v>9</v>
      </c>
      <c r="K31" s="33"/>
      <c r="L31" s="51">
        <f t="shared" si="3"/>
        <v>4</v>
      </c>
      <c r="M31" s="78">
        <f t="shared" si="4"/>
        <v>0</v>
      </c>
      <c r="N31" s="139">
        <f t="shared" si="1"/>
        <v>4</v>
      </c>
      <c r="O31" s="53">
        <v>370000</v>
      </c>
      <c r="P31" s="54">
        <f t="shared" si="2"/>
        <v>1480000</v>
      </c>
      <c r="Q31" s="86"/>
    </row>
    <row r="32" spans="1:17" s="31" customFormat="1" x14ac:dyDescent="0.3">
      <c r="A32" s="61">
        <v>29</v>
      </c>
      <c r="B32" s="116" t="s">
        <v>221</v>
      </c>
      <c r="C32" s="116"/>
      <c r="D32" s="117" t="s">
        <v>4</v>
      </c>
      <c r="E32" s="127"/>
      <c r="F32" s="32"/>
      <c r="G32" s="32"/>
      <c r="H32" s="36" t="s">
        <v>9</v>
      </c>
      <c r="I32" s="32"/>
      <c r="J32" s="32" t="s">
        <v>9</v>
      </c>
      <c r="K32" s="33"/>
      <c r="L32" s="51">
        <f t="shared" si="3"/>
        <v>2</v>
      </c>
      <c r="M32" s="78">
        <f t="shared" si="4"/>
        <v>0</v>
      </c>
      <c r="N32" s="139">
        <f t="shared" si="1"/>
        <v>2</v>
      </c>
      <c r="O32" s="53">
        <v>370000</v>
      </c>
      <c r="P32" s="54">
        <f t="shared" si="2"/>
        <v>740000</v>
      </c>
      <c r="Q32" s="86"/>
    </row>
    <row r="33" spans="1:17" s="31" customFormat="1" x14ac:dyDescent="0.3">
      <c r="A33" s="61">
        <v>30</v>
      </c>
      <c r="B33" s="48" t="s">
        <v>222</v>
      </c>
      <c r="C33" s="48"/>
      <c r="D33" s="91" t="s">
        <v>4</v>
      </c>
      <c r="E33" s="41" t="s">
        <v>8</v>
      </c>
      <c r="F33" s="32" t="s">
        <v>9</v>
      </c>
      <c r="G33" s="32" t="s">
        <v>9</v>
      </c>
      <c r="H33" s="36" t="s">
        <v>9</v>
      </c>
      <c r="I33" s="32"/>
      <c r="J33" s="32" t="s">
        <v>9</v>
      </c>
      <c r="K33" s="33" t="s">
        <v>9</v>
      </c>
      <c r="L33" s="51">
        <f t="shared" si="3"/>
        <v>5</v>
      </c>
      <c r="M33" s="78">
        <f t="shared" si="4"/>
        <v>0.5</v>
      </c>
      <c r="N33" s="139">
        <f t="shared" si="1"/>
        <v>5.5</v>
      </c>
      <c r="O33" s="53">
        <v>360000</v>
      </c>
      <c r="P33" s="54">
        <f t="shared" si="2"/>
        <v>1980000</v>
      </c>
      <c r="Q33" s="86"/>
    </row>
    <row r="34" spans="1:17" s="31" customFormat="1" x14ac:dyDescent="0.3">
      <c r="A34" s="61">
        <v>31</v>
      </c>
      <c r="B34" s="116" t="s">
        <v>223</v>
      </c>
      <c r="C34" s="116"/>
      <c r="D34" s="117" t="s">
        <v>5</v>
      </c>
      <c r="E34" s="127" t="s">
        <v>9</v>
      </c>
      <c r="F34" s="32" t="s">
        <v>9</v>
      </c>
      <c r="G34" s="32" t="s">
        <v>9</v>
      </c>
      <c r="H34" s="36" t="s">
        <v>9</v>
      </c>
      <c r="I34" s="32"/>
      <c r="J34" s="32" t="s">
        <v>9</v>
      </c>
      <c r="K34" s="33" t="s">
        <v>9</v>
      </c>
      <c r="L34" s="51">
        <f t="shared" si="3"/>
        <v>6</v>
      </c>
      <c r="M34" s="78">
        <f t="shared" si="4"/>
        <v>0</v>
      </c>
      <c r="N34" s="139">
        <f t="shared" si="1"/>
        <v>6</v>
      </c>
      <c r="O34" s="53">
        <v>280000</v>
      </c>
      <c r="P34" s="54">
        <f t="shared" si="2"/>
        <v>1680000</v>
      </c>
      <c r="Q34" s="86"/>
    </row>
    <row r="35" spans="1:17" s="31" customFormat="1" x14ac:dyDescent="0.3">
      <c r="A35" s="61">
        <v>32</v>
      </c>
      <c r="B35" s="116" t="s">
        <v>224</v>
      </c>
      <c r="C35" s="116"/>
      <c r="D35" s="117" t="s">
        <v>4</v>
      </c>
      <c r="E35" s="127"/>
      <c r="F35" s="32"/>
      <c r="G35" s="32" t="s">
        <v>9</v>
      </c>
      <c r="H35" s="36" t="s">
        <v>9</v>
      </c>
      <c r="I35" s="32"/>
      <c r="J35" s="32" t="s">
        <v>9</v>
      </c>
      <c r="K35" s="33"/>
      <c r="L35" s="51">
        <f t="shared" si="3"/>
        <v>3</v>
      </c>
      <c r="M35" s="78">
        <f t="shared" si="4"/>
        <v>0</v>
      </c>
      <c r="N35" s="139">
        <f t="shared" si="1"/>
        <v>3</v>
      </c>
      <c r="O35" s="53">
        <v>370000</v>
      </c>
      <c r="P35" s="54">
        <f t="shared" si="2"/>
        <v>1110000</v>
      </c>
      <c r="Q35" s="86"/>
    </row>
    <row r="36" spans="1:17" s="31" customFormat="1" x14ac:dyDescent="0.3">
      <c r="A36" s="61">
        <v>33</v>
      </c>
      <c r="B36" s="116" t="s">
        <v>225</v>
      </c>
      <c r="C36" s="116"/>
      <c r="D36" s="117" t="s">
        <v>5</v>
      </c>
      <c r="E36" s="127"/>
      <c r="F36" s="32"/>
      <c r="G36" s="32" t="s">
        <v>9</v>
      </c>
      <c r="H36" s="36" t="s">
        <v>9</v>
      </c>
      <c r="I36" s="32"/>
      <c r="J36" s="32" t="s">
        <v>9</v>
      </c>
      <c r="K36" s="33"/>
      <c r="L36" s="51">
        <f t="shared" si="3"/>
        <v>3</v>
      </c>
      <c r="M36" s="78">
        <f t="shared" si="4"/>
        <v>0</v>
      </c>
      <c r="N36" s="139">
        <f t="shared" si="1"/>
        <v>3</v>
      </c>
      <c r="O36" s="53">
        <v>270000</v>
      </c>
      <c r="P36" s="54">
        <f t="shared" si="2"/>
        <v>810000</v>
      </c>
      <c r="Q36" s="86"/>
    </row>
    <row r="37" spans="1:17" s="31" customFormat="1" x14ac:dyDescent="0.3">
      <c r="A37" s="61">
        <v>34</v>
      </c>
      <c r="B37" s="116" t="s">
        <v>226</v>
      </c>
      <c r="C37" s="116"/>
      <c r="D37" s="117" t="s">
        <v>4</v>
      </c>
      <c r="E37" s="127" t="s">
        <v>8</v>
      </c>
      <c r="F37" s="32" t="s">
        <v>9</v>
      </c>
      <c r="G37" s="32" t="s">
        <v>9</v>
      </c>
      <c r="H37" s="36" t="s">
        <v>9</v>
      </c>
      <c r="I37" s="32" t="s">
        <v>9</v>
      </c>
      <c r="J37" s="32" t="s">
        <v>9</v>
      </c>
      <c r="K37" s="33" t="s">
        <v>9</v>
      </c>
      <c r="L37" s="51">
        <f t="shared" si="3"/>
        <v>6</v>
      </c>
      <c r="M37" s="78">
        <f t="shared" si="4"/>
        <v>0.5</v>
      </c>
      <c r="N37" s="139">
        <f t="shared" si="1"/>
        <v>6.5</v>
      </c>
      <c r="O37" s="53">
        <v>360000</v>
      </c>
      <c r="P37" s="54">
        <f t="shared" si="2"/>
        <v>2340000</v>
      </c>
      <c r="Q37" s="86"/>
    </row>
    <row r="38" spans="1:17" s="31" customFormat="1" x14ac:dyDescent="0.3">
      <c r="A38" s="61">
        <v>35</v>
      </c>
      <c r="B38" s="116" t="s">
        <v>229</v>
      </c>
      <c r="C38" s="116"/>
      <c r="D38" s="117" t="s">
        <v>5</v>
      </c>
      <c r="E38" s="127"/>
      <c r="F38" s="32"/>
      <c r="G38" s="32" t="s">
        <v>9</v>
      </c>
      <c r="H38" s="36" t="s">
        <v>9</v>
      </c>
      <c r="I38" s="32" t="s">
        <v>9</v>
      </c>
      <c r="J38" s="32" t="s">
        <v>9</v>
      </c>
      <c r="K38" s="33" t="s">
        <v>9</v>
      </c>
      <c r="L38" s="51">
        <f t="shared" si="3"/>
        <v>5</v>
      </c>
      <c r="M38" s="78">
        <f t="shared" si="4"/>
        <v>0</v>
      </c>
      <c r="N38" s="139">
        <f t="shared" si="1"/>
        <v>5</v>
      </c>
      <c r="O38" s="53">
        <v>270000</v>
      </c>
      <c r="P38" s="54">
        <f t="shared" si="2"/>
        <v>1350000</v>
      </c>
      <c r="Q38" s="86"/>
    </row>
    <row r="39" spans="1:17" s="55" customFormat="1" x14ac:dyDescent="0.3">
      <c r="A39" s="61">
        <v>36</v>
      </c>
      <c r="B39" s="159" t="s">
        <v>230</v>
      </c>
      <c r="C39" s="159"/>
      <c r="D39" s="160" t="s">
        <v>5</v>
      </c>
      <c r="E39" s="127"/>
      <c r="F39" s="32"/>
      <c r="G39" s="32"/>
      <c r="H39" s="36"/>
      <c r="I39" s="32"/>
      <c r="J39" s="32"/>
      <c r="K39" s="33"/>
      <c r="L39" s="51">
        <f t="shared" si="3"/>
        <v>0</v>
      </c>
      <c r="M39" s="78">
        <f t="shared" si="4"/>
        <v>0</v>
      </c>
      <c r="N39" s="139">
        <f t="shared" si="1"/>
        <v>0</v>
      </c>
      <c r="O39" s="53">
        <v>260000</v>
      </c>
      <c r="P39" s="54">
        <f t="shared" si="2"/>
        <v>0</v>
      </c>
      <c r="Q39" s="161"/>
    </row>
    <row r="40" spans="1:17" s="31" customFormat="1" x14ac:dyDescent="0.3">
      <c r="A40" s="61">
        <v>37</v>
      </c>
      <c r="B40" s="116" t="s">
        <v>231</v>
      </c>
      <c r="C40" s="116"/>
      <c r="D40" s="117" t="s">
        <v>4</v>
      </c>
      <c r="E40" s="127"/>
      <c r="F40" s="32"/>
      <c r="G40" s="32"/>
      <c r="H40" s="36"/>
      <c r="I40" s="32"/>
      <c r="J40" s="32"/>
      <c r="K40" s="33"/>
      <c r="L40" s="51">
        <f t="shared" si="3"/>
        <v>0</v>
      </c>
      <c r="M40" s="78">
        <f t="shared" si="4"/>
        <v>0</v>
      </c>
      <c r="N40" s="139">
        <f t="shared" si="1"/>
        <v>0</v>
      </c>
      <c r="O40" s="53">
        <v>360000</v>
      </c>
      <c r="P40" s="54">
        <f t="shared" si="2"/>
        <v>0</v>
      </c>
      <c r="Q40" s="86"/>
    </row>
    <row r="41" spans="1:17" s="31" customFormat="1" x14ac:dyDescent="0.3">
      <c r="A41" s="61">
        <v>38</v>
      </c>
      <c r="B41" s="116" t="s">
        <v>232</v>
      </c>
      <c r="C41" s="116"/>
      <c r="D41" s="117" t="s">
        <v>4</v>
      </c>
      <c r="E41" s="127"/>
      <c r="F41" s="32"/>
      <c r="G41" s="32"/>
      <c r="H41" s="36"/>
      <c r="I41" s="32"/>
      <c r="J41" s="32"/>
      <c r="K41" s="33"/>
      <c r="L41" s="51">
        <f t="shared" si="3"/>
        <v>0</v>
      </c>
      <c r="M41" s="78">
        <f t="shared" si="4"/>
        <v>0</v>
      </c>
      <c r="N41" s="139">
        <f t="shared" si="1"/>
        <v>0</v>
      </c>
      <c r="O41" s="53">
        <v>360000</v>
      </c>
      <c r="P41" s="54">
        <f t="shared" si="2"/>
        <v>0</v>
      </c>
      <c r="Q41" s="86"/>
    </row>
    <row r="42" spans="1:17" s="31" customFormat="1" x14ac:dyDescent="0.3">
      <c r="A42" s="61">
        <v>39</v>
      </c>
      <c r="B42" s="116" t="s">
        <v>233</v>
      </c>
      <c r="C42" s="116"/>
      <c r="D42" s="117" t="s">
        <v>5</v>
      </c>
      <c r="E42" s="127"/>
      <c r="F42" s="32" t="s">
        <v>9</v>
      </c>
      <c r="G42" s="32"/>
      <c r="H42" s="36" t="s">
        <v>9</v>
      </c>
      <c r="I42" s="32" t="s">
        <v>9</v>
      </c>
      <c r="J42" s="32" t="s">
        <v>9</v>
      </c>
      <c r="K42" s="33"/>
      <c r="L42" s="51">
        <f t="shared" si="3"/>
        <v>4</v>
      </c>
      <c r="M42" s="78">
        <f t="shared" si="4"/>
        <v>0</v>
      </c>
      <c r="N42" s="139">
        <f t="shared" si="1"/>
        <v>4</v>
      </c>
      <c r="O42" s="53">
        <v>260000</v>
      </c>
      <c r="P42" s="54">
        <f t="shared" si="2"/>
        <v>1040000</v>
      </c>
      <c r="Q42" s="86"/>
    </row>
    <row r="43" spans="1:17" s="31" customFormat="1" x14ac:dyDescent="0.3">
      <c r="A43" s="61">
        <v>40</v>
      </c>
      <c r="B43" s="116" t="s">
        <v>45</v>
      </c>
      <c r="C43" s="116"/>
      <c r="D43" s="117" t="s">
        <v>4</v>
      </c>
      <c r="E43" s="127"/>
      <c r="F43" s="32"/>
      <c r="G43" s="32" t="s">
        <v>9</v>
      </c>
      <c r="H43" s="36" t="s">
        <v>9</v>
      </c>
      <c r="I43" s="32" t="s">
        <v>9</v>
      </c>
      <c r="J43" s="32" t="s">
        <v>9</v>
      </c>
      <c r="K43" s="33" t="s">
        <v>9</v>
      </c>
      <c r="L43" s="51">
        <f t="shared" si="3"/>
        <v>5</v>
      </c>
      <c r="M43" s="78">
        <f t="shared" si="4"/>
        <v>0</v>
      </c>
      <c r="N43" s="139">
        <f t="shared" si="1"/>
        <v>5</v>
      </c>
      <c r="O43" s="53">
        <v>370000</v>
      </c>
      <c r="P43" s="54">
        <f t="shared" si="2"/>
        <v>1850000</v>
      </c>
      <c r="Q43" s="86"/>
    </row>
    <row r="44" spans="1:17" s="31" customFormat="1" x14ac:dyDescent="0.3">
      <c r="A44" s="61">
        <v>41</v>
      </c>
      <c r="B44" s="116" t="s">
        <v>236</v>
      </c>
      <c r="C44" s="116"/>
      <c r="D44" s="117" t="s">
        <v>5</v>
      </c>
      <c r="E44" s="127"/>
      <c r="F44" s="32"/>
      <c r="G44" s="32"/>
      <c r="H44" s="36"/>
      <c r="I44" s="32"/>
      <c r="J44" s="32"/>
      <c r="K44" s="33"/>
      <c r="L44" s="51">
        <f t="shared" si="3"/>
        <v>0</v>
      </c>
      <c r="M44" s="78">
        <f t="shared" si="4"/>
        <v>0</v>
      </c>
      <c r="N44" s="139">
        <f t="shared" si="1"/>
        <v>0</v>
      </c>
      <c r="O44" s="53">
        <v>270000</v>
      </c>
      <c r="P44" s="54">
        <f t="shared" si="2"/>
        <v>0</v>
      </c>
      <c r="Q44" s="86"/>
    </row>
    <row r="45" spans="1:17" s="31" customFormat="1" x14ac:dyDescent="0.3">
      <c r="A45" s="61">
        <v>42</v>
      </c>
      <c r="B45" s="116" t="s">
        <v>235</v>
      </c>
      <c r="C45" s="116"/>
      <c r="D45" s="117" t="s">
        <v>4</v>
      </c>
      <c r="E45" s="127"/>
      <c r="F45" s="32"/>
      <c r="G45" s="32" t="s">
        <v>9</v>
      </c>
      <c r="H45" s="36" t="s">
        <v>9</v>
      </c>
      <c r="I45" s="32" t="s">
        <v>9</v>
      </c>
      <c r="J45" s="32" t="s">
        <v>9</v>
      </c>
      <c r="K45" s="33"/>
      <c r="L45" s="51">
        <f t="shared" si="3"/>
        <v>4</v>
      </c>
      <c r="M45" s="78">
        <f t="shared" si="4"/>
        <v>0</v>
      </c>
      <c r="N45" s="139">
        <f t="shared" si="1"/>
        <v>4</v>
      </c>
      <c r="O45" s="53">
        <v>360000</v>
      </c>
      <c r="P45" s="54">
        <f t="shared" si="2"/>
        <v>1440000</v>
      </c>
      <c r="Q45" s="86"/>
    </row>
    <row r="46" spans="1:17" s="31" customFormat="1" x14ac:dyDescent="0.3">
      <c r="A46" s="61">
        <v>43</v>
      </c>
      <c r="B46" s="116" t="s">
        <v>237</v>
      </c>
      <c r="C46" s="116"/>
      <c r="D46" s="117" t="s">
        <v>5</v>
      </c>
      <c r="E46" s="127"/>
      <c r="F46" s="32"/>
      <c r="G46" s="32" t="s">
        <v>9</v>
      </c>
      <c r="H46" s="36" t="s">
        <v>9</v>
      </c>
      <c r="I46" s="32" t="s">
        <v>9</v>
      </c>
      <c r="J46" s="32" t="s">
        <v>9</v>
      </c>
      <c r="K46" s="33"/>
      <c r="L46" s="51">
        <f t="shared" si="3"/>
        <v>4</v>
      </c>
      <c r="M46" s="78">
        <f t="shared" si="4"/>
        <v>0</v>
      </c>
      <c r="N46" s="139">
        <f t="shared" si="1"/>
        <v>4</v>
      </c>
      <c r="O46" s="53">
        <v>270000</v>
      </c>
      <c r="P46" s="54">
        <f t="shared" si="2"/>
        <v>1080000</v>
      </c>
      <c r="Q46" s="86"/>
    </row>
    <row r="47" spans="1:17" s="31" customFormat="1" x14ac:dyDescent="0.3">
      <c r="A47" s="61">
        <v>44</v>
      </c>
      <c r="B47" s="116" t="s">
        <v>238</v>
      </c>
      <c r="C47" s="116"/>
      <c r="D47" s="117" t="s">
        <v>5</v>
      </c>
      <c r="E47" s="127"/>
      <c r="F47" s="32"/>
      <c r="G47" s="32"/>
      <c r="H47" s="32"/>
      <c r="I47" s="36"/>
      <c r="J47" s="32"/>
      <c r="K47" s="33"/>
      <c r="L47" s="51">
        <f t="shared" si="3"/>
        <v>0</v>
      </c>
      <c r="M47" s="78">
        <f t="shared" si="4"/>
        <v>0</v>
      </c>
      <c r="N47" s="139">
        <f t="shared" si="1"/>
        <v>0</v>
      </c>
      <c r="O47" s="53">
        <v>270000</v>
      </c>
      <c r="P47" s="54">
        <f t="shared" si="2"/>
        <v>0</v>
      </c>
      <c r="Q47" s="86"/>
    </row>
    <row r="48" spans="1:17" s="31" customFormat="1" x14ac:dyDescent="0.3">
      <c r="A48" s="61">
        <v>45</v>
      </c>
      <c r="B48" s="48" t="s">
        <v>239</v>
      </c>
      <c r="C48" s="48"/>
      <c r="D48" s="91" t="s">
        <v>5</v>
      </c>
      <c r="E48" s="41"/>
      <c r="F48" s="21"/>
      <c r="G48" s="21"/>
      <c r="H48" s="35"/>
      <c r="I48" s="21"/>
      <c r="J48" s="21"/>
      <c r="K48" s="25"/>
      <c r="L48" s="51">
        <f t="shared" si="3"/>
        <v>0</v>
      </c>
      <c r="M48" s="78">
        <f t="shared" si="4"/>
        <v>0</v>
      </c>
      <c r="N48" s="139">
        <f t="shared" si="1"/>
        <v>0</v>
      </c>
      <c r="O48" s="53">
        <v>270000</v>
      </c>
      <c r="P48" s="54">
        <f t="shared" si="2"/>
        <v>0</v>
      </c>
      <c r="Q48" s="86"/>
    </row>
    <row r="49" spans="1:17" s="31" customFormat="1" x14ac:dyDescent="0.3">
      <c r="A49" s="61">
        <v>46</v>
      </c>
      <c r="B49" s="116" t="s">
        <v>240</v>
      </c>
      <c r="C49" s="116"/>
      <c r="D49" s="117" t="s">
        <v>4</v>
      </c>
      <c r="E49" s="127"/>
      <c r="F49" s="32"/>
      <c r="G49" s="32" t="s">
        <v>9</v>
      </c>
      <c r="H49" s="36" t="s">
        <v>9</v>
      </c>
      <c r="I49" s="32" t="s">
        <v>9</v>
      </c>
      <c r="J49" s="32" t="s">
        <v>9</v>
      </c>
      <c r="K49" s="33"/>
      <c r="L49" s="51">
        <f t="shared" si="3"/>
        <v>4</v>
      </c>
      <c r="M49" s="78">
        <f t="shared" si="4"/>
        <v>0</v>
      </c>
      <c r="N49" s="139">
        <f t="shared" si="1"/>
        <v>4</v>
      </c>
      <c r="O49" s="53">
        <v>360000</v>
      </c>
      <c r="P49" s="54">
        <f t="shared" si="2"/>
        <v>1440000</v>
      </c>
      <c r="Q49" s="86"/>
    </row>
    <row r="50" spans="1:17" s="31" customFormat="1" x14ac:dyDescent="0.3">
      <c r="A50" s="61">
        <v>47</v>
      </c>
      <c r="B50" s="116" t="s">
        <v>241</v>
      </c>
      <c r="C50" s="116"/>
      <c r="D50" s="117" t="s">
        <v>4</v>
      </c>
      <c r="E50" s="127"/>
      <c r="F50" s="32"/>
      <c r="G50" s="32" t="s">
        <v>9</v>
      </c>
      <c r="H50" s="36" t="s">
        <v>9</v>
      </c>
      <c r="I50" s="32" t="s">
        <v>9</v>
      </c>
      <c r="J50" s="32" t="s">
        <v>9</v>
      </c>
      <c r="K50" s="33" t="s">
        <v>9</v>
      </c>
      <c r="L50" s="51">
        <f t="shared" si="3"/>
        <v>5</v>
      </c>
      <c r="M50" s="78">
        <f t="shared" si="4"/>
        <v>0</v>
      </c>
      <c r="N50" s="139">
        <f t="shared" si="1"/>
        <v>5</v>
      </c>
      <c r="O50" s="53">
        <v>360000</v>
      </c>
      <c r="P50" s="54">
        <f t="shared" si="2"/>
        <v>1800000</v>
      </c>
      <c r="Q50" s="86"/>
    </row>
    <row r="51" spans="1:17" s="31" customFormat="1" x14ac:dyDescent="0.3">
      <c r="A51" s="61">
        <v>48</v>
      </c>
      <c r="B51" s="116" t="s">
        <v>242</v>
      </c>
      <c r="C51" s="116"/>
      <c r="D51" s="117" t="s">
        <v>5</v>
      </c>
      <c r="E51" s="127"/>
      <c r="F51" s="32" t="s">
        <v>9</v>
      </c>
      <c r="G51" s="32" t="s">
        <v>9</v>
      </c>
      <c r="H51" s="36" t="s">
        <v>9</v>
      </c>
      <c r="I51" s="32" t="s">
        <v>9</v>
      </c>
      <c r="J51" s="32" t="s">
        <v>9</v>
      </c>
      <c r="K51" s="33" t="s">
        <v>9</v>
      </c>
      <c r="L51" s="51">
        <f t="shared" si="3"/>
        <v>6</v>
      </c>
      <c r="M51" s="78">
        <f t="shared" si="4"/>
        <v>0</v>
      </c>
      <c r="N51" s="139">
        <f t="shared" si="1"/>
        <v>6</v>
      </c>
      <c r="O51" s="53">
        <v>270000</v>
      </c>
      <c r="P51" s="54">
        <f t="shared" si="2"/>
        <v>1620000</v>
      </c>
      <c r="Q51" s="86"/>
    </row>
    <row r="52" spans="1:17" s="31" customFormat="1" x14ac:dyDescent="0.3">
      <c r="A52" s="61">
        <v>49</v>
      </c>
      <c r="B52" s="48" t="s">
        <v>243</v>
      </c>
      <c r="C52" s="48"/>
      <c r="D52" s="91" t="s">
        <v>5</v>
      </c>
      <c r="E52" s="41"/>
      <c r="F52" s="32"/>
      <c r="G52" s="32"/>
      <c r="H52" s="36"/>
      <c r="I52" s="32"/>
      <c r="J52" s="32"/>
      <c r="K52" s="33"/>
      <c r="L52" s="51">
        <f t="shared" si="3"/>
        <v>0</v>
      </c>
      <c r="M52" s="78">
        <f t="shared" si="4"/>
        <v>0</v>
      </c>
      <c r="N52" s="139">
        <f t="shared" si="1"/>
        <v>0</v>
      </c>
      <c r="O52" s="53">
        <v>270000</v>
      </c>
      <c r="P52" s="54">
        <f t="shared" si="2"/>
        <v>0</v>
      </c>
      <c r="Q52" s="86"/>
    </row>
    <row r="53" spans="1:17" s="31" customFormat="1" x14ac:dyDescent="0.3">
      <c r="A53" s="61">
        <v>50</v>
      </c>
      <c r="B53" s="116" t="s">
        <v>287</v>
      </c>
      <c r="C53" s="116"/>
      <c r="D53" s="117" t="s">
        <v>4</v>
      </c>
      <c r="E53" s="127"/>
      <c r="F53" s="32"/>
      <c r="G53" s="32" t="s">
        <v>9</v>
      </c>
      <c r="H53" s="36" t="s">
        <v>9</v>
      </c>
      <c r="I53" s="32" t="s">
        <v>9</v>
      </c>
      <c r="J53" s="32" t="s">
        <v>9</v>
      </c>
      <c r="K53" s="33" t="s">
        <v>9</v>
      </c>
      <c r="L53" s="51">
        <f t="shared" si="3"/>
        <v>5</v>
      </c>
      <c r="M53" s="78">
        <f t="shared" si="4"/>
        <v>0</v>
      </c>
      <c r="N53" s="139">
        <f t="shared" si="1"/>
        <v>5</v>
      </c>
      <c r="O53" s="53">
        <v>360000</v>
      </c>
      <c r="P53" s="54">
        <f t="shared" si="2"/>
        <v>1800000</v>
      </c>
      <c r="Q53" s="86"/>
    </row>
    <row r="54" spans="1:17" s="31" customFormat="1" x14ac:dyDescent="0.3">
      <c r="A54" s="82">
        <v>51</v>
      </c>
      <c r="B54" s="116" t="s">
        <v>289</v>
      </c>
      <c r="C54" s="116"/>
      <c r="D54" s="117" t="s">
        <v>4</v>
      </c>
      <c r="E54" s="127"/>
      <c r="F54" s="32"/>
      <c r="G54" s="32"/>
      <c r="H54" s="36"/>
      <c r="I54" s="32"/>
      <c r="J54" s="32"/>
      <c r="K54" s="33"/>
      <c r="L54" s="51">
        <f t="shared" ref="L54:L61" si="6">COUNTIF(E54:K54,"X")</f>
        <v>0</v>
      </c>
      <c r="M54" s="78">
        <f t="shared" ref="M54:M61" si="7">COUNTIF(E54:K54,"X/2")/2</f>
        <v>0</v>
      </c>
      <c r="N54" s="139">
        <f t="shared" ref="N54:N61" si="8">SUM(L54:M54)</f>
        <v>0</v>
      </c>
      <c r="O54" s="53">
        <v>360000</v>
      </c>
      <c r="P54" s="54">
        <f t="shared" si="2"/>
        <v>0</v>
      </c>
      <c r="Q54" s="86"/>
    </row>
    <row r="55" spans="1:17" s="31" customFormat="1" x14ac:dyDescent="0.3">
      <c r="A55" s="82">
        <v>52</v>
      </c>
      <c r="B55" s="116" t="s">
        <v>290</v>
      </c>
      <c r="C55" s="116"/>
      <c r="D55" s="117" t="s">
        <v>5</v>
      </c>
      <c r="E55" s="127"/>
      <c r="F55" s="32"/>
      <c r="G55" s="32"/>
      <c r="H55" s="36"/>
      <c r="I55" s="32"/>
      <c r="J55" s="32"/>
      <c r="K55" s="33"/>
      <c r="L55" s="51">
        <f t="shared" si="6"/>
        <v>0</v>
      </c>
      <c r="M55" s="78">
        <f t="shared" si="7"/>
        <v>0</v>
      </c>
      <c r="N55" s="139">
        <f t="shared" si="8"/>
        <v>0</v>
      </c>
      <c r="O55" s="53">
        <v>270000</v>
      </c>
      <c r="P55" s="54">
        <f t="shared" si="2"/>
        <v>0</v>
      </c>
      <c r="Q55" s="86"/>
    </row>
    <row r="56" spans="1:17" s="31" customFormat="1" x14ac:dyDescent="0.3">
      <c r="A56" s="82">
        <v>53</v>
      </c>
      <c r="B56" s="116" t="s">
        <v>288</v>
      </c>
      <c r="C56" s="116"/>
      <c r="D56" s="117" t="s">
        <v>5</v>
      </c>
      <c r="E56" s="127"/>
      <c r="F56" s="32" t="s">
        <v>9</v>
      </c>
      <c r="G56" s="32" t="s">
        <v>9</v>
      </c>
      <c r="H56" s="36" t="s">
        <v>9</v>
      </c>
      <c r="I56" s="32" t="s">
        <v>9</v>
      </c>
      <c r="J56" s="32" t="s">
        <v>9</v>
      </c>
      <c r="K56" s="33" t="s">
        <v>9</v>
      </c>
      <c r="L56" s="51">
        <f t="shared" si="6"/>
        <v>6</v>
      </c>
      <c r="M56" s="78">
        <f t="shared" si="7"/>
        <v>0</v>
      </c>
      <c r="N56" s="139">
        <f t="shared" si="8"/>
        <v>6</v>
      </c>
      <c r="O56" s="53">
        <v>270000</v>
      </c>
      <c r="P56" s="54">
        <f t="shared" si="2"/>
        <v>1620000</v>
      </c>
      <c r="Q56" s="86"/>
    </row>
    <row r="57" spans="1:17" s="31" customFormat="1" x14ac:dyDescent="0.3">
      <c r="A57" s="82">
        <v>54</v>
      </c>
      <c r="B57" s="116" t="s">
        <v>291</v>
      </c>
      <c r="C57" s="116"/>
      <c r="D57" s="117" t="s">
        <v>5</v>
      </c>
      <c r="E57" s="127" t="s">
        <v>9</v>
      </c>
      <c r="F57" s="32"/>
      <c r="G57" s="32" t="s">
        <v>9</v>
      </c>
      <c r="H57" s="36" t="s">
        <v>9</v>
      </c>
      <c r="I57" s="32" t="s">
        <v>9</v>
      </c>
      <c r="J57" s="32" t="s">
        <v>9</v>
      </c>
      <c r="K57" s="33"/>
      <c r="L57" s="51">
        <f t="shared" si="6"/>
        <v>5</v>
      </c>
      <c r="M57" s="78">
        <f t="shared" si="7"/>
        <v>0</v>
      </c>
      <c r="N57" s="139">
        <f t="shared" si="8"/>
        <v>5</v>
      </c>
      <c r="O57" s="53">
        <v>270000</v>
      </c>
      <c r="P57" s="54">
        <f t="shared" si="2"/>
        <v>1350000</v>
      </c>
      <c r="Q57" s="86"/>
    </row>
    <row r="58" spans="1:17" s="31" customFormat="1" x14ac:dyDescent="0.3">
      <c r="A58" s="82">
        <v>55</v>
      </c>
      <c r="B58" s="116" t="s">
        <v>295</v>
      </c>
      <c r="C58" s="116"/>
      <c r="D58" s="117" t="s">
        <v>5</v>
      </c>
      <c r="E58" s="127"/>
      <c r="F58" s="32"/>
      <c r="G58" s="32" t="s">
        <v>9</v>
      </c>
      <c r="H58" s="36" t="s">
        <v>9</v>
      </c>
      <c r="I58" s="32" t="s">
        <v>9</v>
      </c>
      <c r="J58" s="32" t="s">
        <v>9</v>
      </c>
      <c r="K58" s="33" t="s">
        <v>9</v>
      </c>
      <c r="L58" s="51">
        <f t="shared" si="6"/>
        <v>5</v>
      </c>
      <c r="M58" s="78">
        <f t="shared" si="7"/>
        <v>0</v>
      </c>
      <c r="N58" s="139">
        <f t="shared" si="8"/>
        <v>5</v>
      </c>
      <c r="O58" s="53">
        <v>270000</v>
      </c>
      <c r="P58" s="54">
        <f t="shared" si="2"/>
        <v>1350000</v>
      </c>
      <c r="Q58" s="86"/>
    </row>
    <row r="59" spans="1:17" s="31" customFormat="1" x14ac:dyDescent="0.3">
      <c r="A59" s="82">
        <v>56</v>
      </c>
      <c r="B59" s="116" t="s">
        <v>296</v>
      </c>
      <c r="C59" s="116"/>
      <c r="D59" s="117" t="s">
        <v>5</v>
      </c>
      <c r="E59" s="127"/>
      <c r="F59" s="32"/>
      <c r="G59" s="32"/>
      <c r="H59" s="36"/>
      <c r="I59" s="32"/>
      <c r="J59" s="32"/>
      <c r="K59" s="33"/>
      <c r="L59" s="51">
        <f t="shared" si="6"/>
        <v>0</v>
      </c>
      <c r="M59" s="78">
        <f t="shared" si="7"/>
        <v>0</v>
      </c>
      <c r="N59" s="139">
        <f t="shared" si="8"/>
        <v>0</v>
      </c>
      <c r="O59" s="53">
        <v>270000</v>
      </c>
      <c r="P59" s="54">
        <f t="shared" si="2"/>
        <v>0</v>
      </c>
      <c r="Q59" s="86"/>
    </row>
    <row r="60" spans="1:17" s="31" customFormat="1" x14ac:dyDescent="0.3">
      <c r="A60" s="82">
        <v>57</v>
      </c>
      <c r="B60" s="116" t="s">
        <v>297</v>
      </c>
      <c r="C60" s="116"/>
      <c r="D60" s="117" t="s">
        <v>4</v>
      </c>
      <c r="E60" s="127"/>
      <c r="F60" s="32"/>
      <c r="G60" s="32"/>
      <c r="H60" s="36"/>
      <c r="I60" s="32"/>
      <c r="J60" s="32"/>
      <c r="K60" s="33"/>
      <c r="L60" s="51">
        <f t="shared" si="6"/>
        <v>0</v>
      </c>
      <c r="M60" s="78">
        <f t="shared" si="7"/>
        <v>0</v>
      </c>
      <c r="N60" s="139">
        <f t="shared" si="8"/>
        <v>0</v>
      </c>
      <c r="O60" s="53">
        <v>360000</v>
      </c>
      <c r="P60" s="54">
        <f t="shared" si="2"/>
        <v>0</v>
      </c>
      <c r="Q60" s="86"/>
    </row>
    <row r="61" spans="1:17" s="31" customFormat="1" x14ac:dyDescent="0.3">
      <c r="A61" s="82">
        <v>58</v>
      </c>
      <c r="B61" s="116" t="s">
        <v>298</v>
      </c>
      <c r="C61" s="116"/>
      <c r="D61" s="117" t="s">
        <v>5</v>
      </c>
      <c r="E61" s="127"/>
      <c r="F61" s="32"/>
      <c r="G61" s="32" t="s">
        <v>9</v>
      </c>
      <c r="H61" s="36" t="s">
        <v>9</v>
      </c>
      <c r="I61" s="32" t="s">
        <v>9</v>
      </c>
      <c r="J61" s="32" t="s">
        <v>9</v>
      </c>
      <c r="K61" s="33"/>
      <c r="L61" s="51">
        <f t="shared" si="6"/>
        <v>4</v>
      </c>
      <c r="M61" s="78">
        <f t="shared" si="7"/>
        <v>0</v>
      </c>
      <c r="N61" s="139">
        <f t="shared" si="8"/>
        <v>4</v>
      </c>
      <c r="O61" s="53">
        <v>270000</v>
      </c>
      <c r="P61" s="54">
        <f t="shared" si="2"/>
        <v>1080000</v>
      </c>
      <c r="Q61" s="86"/>
    </row>
    <row r="62" spans="1:17" s="31" customFormat="1" x14ac:dyDescent="0.3">
      <c r="A62" s="82">
        <v>59</v>
      </c>
      <c r="B62" s="116" t="s">
        <v>356</v>
      </c>
      <c r="C62" s="116"/>
      <c r="D62" s="117" t="s">
        <v>5</v>
      </c>
      <c r="E62" s="127"/>
      <c r="F62" s="32"/>
      <c r="G62" s="32"/>
      <c r="H62" s="36"/>
      <c r="I62" s="32"/>
      <c r="J62" s="32"/>
      <c r="K62" s="33" t="s">
        <v>9</v>
      </c>
      <c r="L62" s="51">
        <f t="shared" ref="L62" si="9">COUNTIF(E62:K62,"X")</f>
        <v>1</v>
      </c>
      <c r="M62" s="78">
        <f t="shared" ref="M62" si="10">COUNTIF(E62:K62,"X/2")/2</f>
        <v>0</v>
      </c>
      <c r="N62" s="139">
        <f t="shared" ref="N62" si="11">SUM(L62:M62)</f>
        <v>1</v>
      </c>
      <c r="O62" s="53">
        <v>260000</v>
      </c>
      <c r="P62" s="54">
        <f t="shared" si="2"/>
        <v>260000</v>
      </c>
      <c r="Q62" s="86"/>
    </row>
    <row r="63" spans="1:17" s="31" customFormat="1" x14ac:dyDescent="0.3">
      <c r="A63" s="82"/>
      <c r="B63" s="116"/>
      <c r="C63" s="116"/>
      <c r="D63" s="117"/>
      <c r="E63" s="127"/>
      <c r="F63" s="32"/>
      <c r="G63" s="32"/>
      <c r="H63" s="36"/>
      <c r="I63" s="32"/>
      <c r="J63" s="32"/>
      <c r="K63" s="33"/>
      <c r="L63" s="162"/>
      <c r="M63" s="163"/>
      <c r="N63" s="139"/>
      <c r="O63" s="53"/>
      <c r="P63" s="54">
        <f t="shared" si="2"/>
        <v>0</v>
      </c>
      <c r="Q63" s="86"/>
    </row>
    <row r="64" spans="1:17" s="31" customFormat="1" x14ac:dyDescent="0.3">
      <c r="A64" s="82"/>
      <c r="B64" s="116"/>
      <c r="C64" s="116"/>
      <c r="D64" s="117"/>
      <c r="E64" s="127"/>
      <c r="F64" s="32"/>
      <c r="G64" s="32"/>
      <c r="H64" s="36"/>
      <c r="I64" s="32"/>
      <c r="J64" s="32"/>
      <c r="K64" s="33"/>
      <c r="L64" s="162"/>
      <c r="M64" s="163"/>
      <c r="N64" s="139"/>
      <c r="O64" s="53"/>
      <c r="P64" s="54"/>
      <c r="Q64" s="86"/>
    </row>
    <row r="65" spans="1:18" s="31" customFormat="1" x14ac:dyDescent="0.3">
      <c r="A65" s="82"/>
      <c r="B65" s="116"/>
      <c r="C65" s="116"/>
      <c r="D65" s="117"/>
      <c r="E65" s="127"/>
      <c r="F65" s="32"/>
      <c r="G65" s="32"/>
      <c r="H65" s="36"/>
      <c r="I65" s="32"/>
      <c r="J65" s="32"/>
      <c r="K65" s="33"/>
      <c r="L65" s="162"/>
      <c r="M65" s="163"/>
      <c r="N65" s="139"/>
      <c r="O65" s="53"/>
      <c r="P65" s="54"/>
      <c r="Q65" s="86"/>
    </row>
    <row r="66" spans="1:18" s="31" customFormat="1" x14ac:dyDescent="0.3">
      <c r="A66" s="82"/>
      <c r="B66" s="116"/>
      <c r="C66" s="116"/>
      <c r="D66" s="117"/>
      <c r="E66" s="127"/>
      <c r="F66" s="32"/>
      <c r="G66" s="32"/>
      <c r="H66" s="36"/>
      <c r="I66" s="32"/>
      <c r="J66" s="32"/>
      <c r="K66" s="33"/>
      <c r="L66" s="162"/>
      <c r="M66" s="163"/>
      <c r="N66" s="139"/>
      <c r="O66" s="53"/>
      <c r="P66" s="54"/>
      <c r="Q66" s="86"/>
    </row>
    <row r="67" spans="1:18" s="31" customFormat="1" x14ac:dyDescent="0.3">
      <c r="A67" s="82"/>
      <c r="B67" s="116"/>
      <c r="C67" s="116"/>
      <c r="D67" s="117"/>
      <c r="E67" s="127"/>
      <c r="F67" s="32"/>
      <c r="G67" s="32"/>
      <c r="H67" s="36"/>
      <c r="I67" s="32"/>
      <c r="J67" s="32"/>
      <c r="K67" s="33"/>
      <c r="L67" s="162"/>
      <c r="M67" s="163"/>
      <c r="N67" s="139"/>
      <c r="O67" s="53"/>
      <c r="P67" s="54"/>
      <c r="Q67" s="86"/>
    </row>
    <row r="68" spans="1:18" s="31" customFormat="1" x14ac:dyDescent="0.3">
      <c r="A68" s="82"/>
      <c r="B68" s="116"/>
      <c r="C68" s="116"/>
      <c r="D68" s="117"/>
      <c r="E68" s="127"/>
      <c r="F68" s="32"/>
      <c r="G68" s="32"/>
      <c r="H68" s="36"/>
      <c r="I68" s="32"/>
      <c r="J68" s="32"/>
      <c r="K68" s="33"/>
      <c r="L68" s="162"/>
      <c r="M68" s="163"/>
      <c r="N68" s="139"/>
      <c r="O68" s="53"/>
      <c r="P68" s="54"/>
      <c r="Q68" s="86"/>
    </row>
    <row r="69" spans="1:18" s="31" customFormat="1" x14ac:dyDescent="0.3">
      <c r="A69" s="82"/>
      <c r="B69" s="116"/>
      <c r="C69" s="116"/>
      <c r="D69" s="117"/>
      <c r="E69" s="127"/>
      <c r="F69" s="32"/>
      <c r="G69" s="32"/>
      <c r="H69" s="36"/>
      <c r="I69" s="32"/>
      <c r="J69" s="32"/>
      <c r="K69" s="33"/>
      <c r="L69" s="162"/>
      <c r="M69" s="163"/>
      <c r="N69" s="139"/>
      <c r="O69" s="53"/>
      <c r="P69" s="54"/>
      <c r="Q69" s="86"/>
    </row>
    <row r="70" spans="1:18" s="31" customFormat="1" x14ac:dyDescent="0.3">
      <c r="A70" s="82"/>
      <c r="B70" s="116"/>
      <c r="C70" s="116"/>
      <c r="D70" s="117"/>
      <c r="E70" s="127"/>
      <c r="F70" s="32"/>
      <c r="G70" s="32"/>
      <c r="H70" s="36"/>
      <c r="I70" s="32"/>
      <c r="J70" s="32"/>
      <c r="K70" s="33"/>
      <c r="L70" s="162"/>
      <c r="M70" s="163"/>
      <c r="N70" s="139"/>
      <c r="O70" s="53"/>
      <c r="P70" s="54"/>
      <c r="Q70" s="86"/>
    </row>
    <row r="71" spans="1:18" s="31" customFormat="1" x14ac:dyDescent="0.3">
      <c r="A71" s="82"/>
      <c r="B71" s="116"/>
      <c r="C71" s="116"/>
      <c r="D71" s="117"/>
      <c r="E71" s="127"/>
      <c r="F71" s="32"/>
      <c r="G71" s="32"/>
      <c r="H71" s="36"/>
      <c r="I71" s="32"/>
      <c r="J71" s="32"/>
      <c r="K71" s="33"/>
      <c r="L71" s="162"/>
      <c r="M71" s="163"/>
      <c r="N71" s="139"/>
      <c r="O71" s="53"/>
      <c r="P71" s="54"/>
      <c r="Q71" s="86"/>
    </row>
    <row r="72" spans="1:18" s="31" customFormat="1" x14ac:dyDescent="0.3">
      <c r="A72" s="82"/>
      <c r="B72" s="116"/>
      <c r="C72" s="116"/>
      <c r="D72" s="117"/>
      <c r="E72" s="127"/>
      <c r="F72" s="32"/>
      <c r="G72" s="32"/>
      <c r="H72" s="36"/>
      <c r="I72" s="32"/>
      <c r="J72" s="32"/>
      <c r="K72" s="33"/>
      <c r="L72" s="162"/>
      <c r="M72" s="163"/>
      <c r="N72" s="139"/>
      <c r="O72" s="53"/>
      <c r="P72" s="54"/>
      <c r="Q72" s="86"/>
    </row>
    <row r="73" spans="1:18" s="31" customFormat="1" x14ac:dyDescent="0.3">
      <c r="A73" s="82"/>
      <c r="B73" s="116"/>
      <c r="C73" s="116"/>
      <c r="D73" s="117"/>
      <c r="E73" s="127"/>
      <c r="F73" s="32"/>
      <c r="G73" s="32"/>
      <c r="H73" s="36"/>
      <c r="I73" s="32"/>
      <c r="J73" s="32"/>
      <c r="K73" s="33"/>
      <c r="L73" s="162"/>
      <c r="M73" s="163"/>
      <c r="N73" s="139"/>
      <c r="O73" s="53"/>
      <c r="P73" s="54"/>
      <c r="Q73" s="86"/>
    </row>
    <row r="74" spans="1:18" s="31" customFormat="1" x14ac:dyDescent="0.3">
      <c r="A74" s="82"/>
      <c r="B74" s="116"/>
      <c r="C74" s="116"/>
      <c r="D74" s="117"/>
      <c r="E74" s="127"/>
      <c r="F74" s="32"/>
      <c r="G74" s="32"/>
      <c r="H74" s="36"/>
      <c r="I74" s="32"/>
      <c r="J74" s="32"/>
      <c r="K74" s="33"/>
      <c r="L74" s="162"/>
      <c r="M74" s="163"/>
      <c r="N74" s="139"/>
      <c r="O74" s="53"/>
      <c r="P74" s="54"/>
      <c r="Q74" s="86"/>
    </row>
    <row r="75" spans="1:18" s="31" customFormat="1" x14ac:dyDescent="0.3">
      <c r="A75" s="82"/>
      <c r="B75" s="116"/>
      <c r="C75" s="116"/>
      <c r="D75" s="117"/>
      <c r="E75" s="127"/>
      <c r="F75" s="32"/>
      <c r="G75" s="32"/>
      <c r="H75" s="36"/>
      <c r="I75" s="32"/>
      <c r="J75" s="32"/>
      <c r="K75" s="33"/>
      <c r="L75" s="162"/>
      <c r="M75" s="163"/>
      <c r="N75" s="139"/>
      <c r="O75" s="53"/>
      <c r="P75" s="54"/>
      <c r="Q75" s="86"/>
    </row>
    <row r="76" spans="1:18" s="31" customFormat="1" x14ac:dyDescent="0.3">
      <c r="A76" s="82"/>
      <c r="B76" s="116"/>
      <c r="C76" s="116"/>
      <c r="D76" s="117"/>
      <c r="E76" s="127"/>
      <c r="F76" s="32"/>
      <c r="G76" s="32"/>
      <c r="H76" s="36"/>
      <c r="I76" s="32"/>
      <c r="J76" s="32"/>
      <c r="K76" s="33"/>
      <c r="L76" s="162"/>
      <c r="M76" s="163"/>
      <c r="N76" s="139"/>
      <c r="O76" s="53"/>
      <c r="P76" s="54"/>
      <c r="Q76" s="86"/>
    </row>
    <row r="77" spans="1:18" s="31" customFormat="1" ht="16.2" thickBot="1" x14ac:dyDescent="0.35">
      <c r="A77" s="118"/>
      <c r="B77" s="119"/>
      <c r="C77" s="119"/>
      <c r="D77" s="120"/>
      <c r="E77" s="128"/>
      <c r="F77" s="27"/>
      <c r="G77" s="27"/>
      <c r="H77" s="37"/>
      <c r="I77" s="27"/>
      <c r="J77" s="27"/>
      <c r="K77" s="26"/>
      <c r="L77" s="156"/>
      <c r="M77" s="174"/>
      <c r="N77" s="80"/>
      <c r="O77" s="121"/>
      <c r="P77" s="121">
        <f>SUBTOTAL(109,P4:P62)</f>
        <v>58465000</v>
      </c>
      <c r="Q77" s="175">
        <f>SUBTOTAL(109,Q4:Q52)</f>
        <v>500000</v>
      </c>
    </row>
    <row r="78" spans="1:18" s="31" customFormat="1" ht="16.2" thickBot="1" x14ac:dyDescent="0.35">
      <c r="A78" s="83"/>
      <c r="B78" s="84"/>
      <c r="C78" s="89"/>
      <c r="D78" s="85"/>
      <c r="E78" s="81">
        <f t="shared" ref="E78:L78" si="12">SUBTOTAL(103,E4:E77)</f>
        <v>8</v>
      </c>
      <c r="F78" s="43">
        <f t="shared" si="12"/>
        <v>15</v>
      </c>
      <c r="G78" s="40">
        <f t="shared" si="12"/>
        <v>30</v>
      </c>
      <c r="H78" s="43">
        <f t="shared" si="12"/>
        <v>33</v>
      </c>
      <c r="I78" s="40">
        <f t="shared" si="12"/>
        <v>29</v>
      </c>
      <c r="J78" s="40">
        <f t="shared" si="12"/>
        <v>37</v>
      </c>
      <c r="K78" s="63">
        <f t="shared" si="12"/>
        <v>22</v>
      </c>
      <c r="L78" s="40">
        <f t="shared" si="12"/>
        <v>59</v>
      </c>
      <c r="M78" s="155">
        <f>SUBTOTAL(103,M4:M29)</f>
        <v>26</v>
      </c>
      <c r="N78" s="81">
        <f>SUBTOTAL(103,N4:N29)</f>
        <v>26</v>
      </c>
      <c r="O78" s="40">
        <f>SUBTOTAL(103,O4:O77)</f>
        <v>59</v>
      </c>
      <c r="P78" s="63">
        <f>SUBTOTAL(103,P4:P62)</f>
        <v>59</v>
      </c>
      <c r="Q78" s="165">
        <f>P77-Q77</f>
        <v>57965000</v>
      </c>
      <c r="R78" s="208"/>
    </row>
    <row r="80" spans="1:18" x14ac:dyDescent="0.3">
      <c r="P80" s="76"/>
      <c r="Q80" s="76"/>
    </row>
    <row r="81" spans="16:16" x14ac:dyDescent="0.3">
      <c r="P81" s="76"/>
    </row>
  </sheetData>
  <autoFilter ref="A3:R63"/>
  <mergeCells count="10">
    <mergeCell ref="N2:N3"/>
    <mergeCell ref="O2:O3"/>
    <mergeCell ref="P2:P3"/>
    <mergeCell ref="Q2:Q3"/>
    <mergeCell ref="A2:A3"/>
    <mergeCell ref="B2:B3"/>
    <mergeCell ref="C2:C3"/>
    <mergeCell ref="D2:D3"/>
    <mergeCell ref="L2:L3"/>
    <mergeCell ref="M2:M3"/>
  </mergeCells>
  <conditionalFormatting sqref="E78:K78 E79:P79">
    <cfRule type="expression" dxfId="13" priority="1">
      <formula>IF(E$3="cn",1,0)</formula>
    </cfRule>
  </conditionalFormatting>
  <pageMargins left="0.05" right="0.17" top="0.17" bottom="0.17" header="0.17" footer="0.1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T81"/>
  <sheetViews>
    <sheetView topLeftCell="A16" workbookViewId="0">
      <selection activeCell="H13" sqref="H13"/>
    </sheetView>
  </sheetViews>
  <sheetFormatPr defaultRowHeight="15.6" x14ac:dyDescent="0.3"/>
  <cols>
    <col min="1" max="1" width="3.88671875" style="62" customWidth="1"/>
    <col min="2" max="2" width="19.33203125" style="1" customWidth="1"/>
    <col min="3" max="3" width="27.21875" style="1" customWidth="1"/>
    <col min="4" max="4" width="7.77734375" style="3" customWidth="1"/>
    <col min="5" max="7" width="4.5546875" style="129" customWidth="1"/>
    <col min="8" max="12" width="4.5546875" style="176" customWidth="1"/>
    <col min="13" max="13" width="4.88671875" style="176" customWidth="1"/>
    <col min="14" max="14" width="5.33203125" style="176" customWidth="1"/>
    <col min="15" max="15" width="6.6640625" style="176" customWidth="1"/>
    <col min="16" max="16" width="5.109375" style="176" customWidth="1"/>
    <col min="17" max="17" width="10.88671875" style="1" customWidth="1"/>
    <col min="18" max="18" width="14" style="1" customWidth="1"/>
    <col min="19" max="19" width="13.5546875" style="1" customWidth="1"/>
    <col min="20" max="20" width="22.21875" style="1" bestFit="1" customWidth="1"/>
    <col min="21" max="16384" width="8.88671875" style="1"/>
  </cols>
  <sheetData>
    <row r="1" spans="1:20" ht="31.2" customHeight="1" thickBot="1" x14ac:dyDescent="0.35">
      <c r="A1" s="154" t="s">
        <v>360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73"/>
      <c r="Q1" s="173"/>
      <c r="R1" s="173"/>
      <c r="S1" s="173"/>
    </row>
    <row r="2" spans="1:20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2</v>
      </c>
      <c r="F2" s="23">
        <f t="shared" ref="F2" si="0">E2+1</f>
        <v>3</v>
      </c>
      <c r="G2" s="23">
        <f t="shared" ref="G2" si="1">F2+1</f>
        <v>4</v>
      </c>
      <c r="H2" s="23">
        <f t="shared" ref="H2" si="2">G2+1</f>
        <v>5</v>
      </c>
      <c r="I2" s="23">
        <f t="shared" ref="I2" si="3">H2+1</f>
        <v>6</v>
      </c>
      <c r="J2" s="23">
        <f t="shared" ref="J2" si="4">I2+1</f>
        <v>7</v>
      </c>
      <c r="K2" s="23">
        <f t="shared" ref="K2" si="5">J2+1</f>
        <v>8</v>
      </c>
      <c r="L2" s="23">
        <f t="shared" ref="L2" si="6">K2+1</f>
        <v>9</v>
      </c>
      <c r="M2" s="24">
        <f t="shared" ref="M2" si="7">L2+1</f>
        <v>10</v>
      </c>
      <c r="N2" s="420" t="s">
        <v>6</v>
      </c>
      <c r="O2" s="422" t="s">
        <v>7</v>
      </c>
      <c r="P2" s="408" t="s">
        <v>357</v>
      </c>
      <c r="Q2" s="410" t="s">
        <v>30</v>
      </c>
      <c r="R2" s="410" t="s">
        <v>33</v>
      </c>
      <c r="S2" s="412" t="s">
        <v>127</v>
      </c>
    </row>
    <row r="3" spans="1:20" s="3" customFormat="1" ht="16.2" thickBot="1" x14ac:dyDescent="0.35">
      <c r="A3" s="415"/>
      <c r="B3" s="417"/>
      <c r="C3" s="417"/>
      <c r="D3" s="425"/>
      <c r="E3" s="125" t="s">
        <v>94</v>
      </c>
      <c r="F3" s="126" t="s">
        <v>95</v>
      </c>
      <c r="G3" s="126" t="s">
        <v>97</v>
      </c>
      <c r="H3" s="126" t="s">
        <v>96</v>
      </c>
      <c r="I3" s="126" t="s">
        <v>98</v>
      </c>
      <c r="J3" s="213" t="s">
        <v>99</v>
      </c>
      <c r="K3" s="213" t="s">
        <v>93</v>
      </c>
      <c r="L3" s="213" t="s">
        <v>94</v>
      </c>
      <c r="M3" s="207" t="s">
        <v>95</v>
      </c>
      <c r="N3" s="421"/>
      <c r="O3" s="423"/>
      <c r="P3" s="409"/>
      <c r="Q3" s="411"/>
      <c r="R3" s="411"/>
      <c r="S3" s="413"/>
    </row>
    <row r="4" spans="1:20" s="3" customFormat="1" x14ac:dyDescent="0.3">
      <c r="A4" s="130">
        <v>1</v>
      </c>
      <c r="B4" s="131" t="s">
        <v>2</v>
      </c>
      <c r="C4" s="132">
        <f>SUBTOTAL(103,C5:C23)</f>
        <v>15</v>
      </c>
      <c r="D4" s="133" t="s">
        <v>128</v>
      </c>
      <c r="E4" s="134" t="s">
        <v>9</v>
      </c>
      <c r="F4" s="135" t="s">
        <v>9</v>
      </c>
      <c r="G4" s="135" t="s">
        <v>9</v>
      </c>
      <c r="H4" s="136" t="s">
        <v>9</v>
      </c>
      <c r="I4" s="135" t="s">
        <v>9</v>
      </c>
      <c r="J4" s="135" t="s">
        <v>9</v>
      </c>
      <c r="K4" s="209" t="s">
        <v>9</v>
      </c>
      <c r="L4" s="209" t="s">
        <v>9</v>
      </c>
      <c r="M4" s="137" t="s">
        <v>9</v>
      </c>
      <c r="N4" s="122">
        <f>COUNTIF(E4:M4,"X")</f>
        <v>9</v>
      </c>
      <c r="O4" s="123">
        <f>COUNTIF(E4:I4,"X/2")/2</f>
        <v>0</v>
      </c>
      <c r="P4" s="87">
        <f t="shared" ref="P4:P63" si="8">SUM(N4:O4)</f>
        <v>9</v>
      </c>
      <c r="Q4" s="124">
        <v>550000</v>
      </c>
      <c r="R4" s="88">
        <f t="shared" ref="R4:R63" si="9">P4*Q4</f>
        <v>4950000</v>
      </c>
      <c r="S4" s="164">
        <v>9600000</v>
      </c>
    </row>
    <row r="5" spans="1:20" s="31" customFormat="1" x14ac:dyDescent="0.3">
      <c r="A5" s="61">
        <v>2</v>
      </c>
      <c r="B5" s="28" t="s">
        <v>36</v>
      </c>
      <c r="C5" s="48" t="s">
        <v>60</v>
      </c>
      <c r="D5" s="90" t="s">
        <v>4</v>
      </c>
      <c r="E5" s="41" t="s">
        <v>9</v>
      </c>
      <c r="F5" s="21" t="s">
        <v>9</v>
      </c>
      <c r="G5" s="21" t="s">
        <v>9</v>
      </c>
      <c r="H5" s="35" t="s">
        <v>9</v>
      </c>
      <c r="I5" s="21" t="s">
        <v>9</v>
      </c>
      <c r="J5" s="21" t="s">
        <v>9</v>
      </c>
      <c r="K5" s="210" t="s">
        <v>9</v>
      </c>
      <c r="L5" s="210" t="s">
        <v>9</v>
      </c>
      <c r="M5" s="25" t="s">
        <v>9</v>
      </c>
      <c r="N5" s="51">
        <f>COUNTIF(E5:M5,"X")</f>
        <v>9</v>
      </c>
      <c r="O5" s="78">
        <f>COUNTIF(E5:M5,"X/2")/2</f>
        <v>0</v>
      </c>
      <c r="P5" s="79">
        <f t="shared" si="8"/>
        <v>9</v>
      </c>
      <c r="Q5" s="52">
        <v>380000</v>
      </c>
      <c r="R5" s="77">
        <f t="shared" si="9"/>
        <v>3420000</v>
      </c>
      <c r="S5" s="50"/>
    </row>
    <row r="6" spans="1:20" s="31" customFormat="1" x14ac:dyDescent="0.3">
      <c r="A6" s="61">
        <f>A5+1</f>
        <v>3</v>
      </c>
      <c r="B6" s="28" t="s">
        <v>44</v>
      </c>
      <c r="C6" s="48"/>
      <c r="D6" s="90" t="s">
        <v>4</v>
      </c>
      <c r="E6" s="41"/>
      <c r="F6" s="21"/>
      <c r="G6" s="21"/>
      <c r="H6" s="35"/>
      <c r="I6" s="21"/>
      <c r="J6" s="21"/>
      <c r="K6" s="210"/>
      <c r="L6" s="210"/>
      <c r="M6" s="25"/>
      <c r="N6" s="51">
        <f t="shared" ref="N6:N63" si="10">COUNTIF(E6:M6,"X")</f>
        <v>0</v>
      </c>
      <c r="O6" s="78">
        <f t="shared" ref="O6:O63" si="11">COUNTIF(E6:M6,"X/2")/2</f>
        <v>0</v>
      </c>
      <c r="P6" s="79">
        <f t="shared" si="8"/>
        <v>0</v>
      </c>
      <c r="Q6" s="52">
        <v>360000</v>
      </c>
      <c r="R6" s="77">
        <f t="shared" si="9"/>
        <v>0</v>
      </c>
      <c r="S6" s="50"/>
      <c r="T6" s="31" t="s">
        <v>163</v>
      </c>
    </row>
    <row r="7" spans="1:20" s="31" customFormat="1" x14ac:dyDescent="0.3">
      <c r="A7" s="61">
        <f t="shared" ref="A7:A15" si="12">A6+1</f>
        <v>4</v>
      </c>
      <c r="B7" s="28" t="s">
        <v>35</v>
      </c>
      <c r="C7" s="48" t="s">
        <v>80</v>
      </c>
      <c r="D7" s="90" t="s">
        <v>4</v>
      </c>
      <c r="E7" s="41" t="s">
        <v>9</v>
      </c>
      <c r="F7" s="21" t="s">
        <v>9</v>
      </c>
      <c r="G7" s="21" t="s">
        <v>9</v>
      </c>
      <c r="H7" s="35" t="s">
        <v>9</v>
      </c>
      <c r="I7" s="21"/>
      <c r="J7" s="21" t="s">
        <v>9</v>
      </c>
      <c r="K7" s="210" t="s">
        <v>9</v>
      </c>
      <c r="L7" s="210" t="s">
        <v>9</v>
      </c>
      <c r="M7" s="25" t="s">
        <v>9</v>
      </c>
      <c r="N7" s="51">
        <f t="shared" si="10"/>
        <v>8</v>
      </c>
      <c r="O7" s="78">
        <f t="shared" si="11"/>
        <v>0</v>
      </c>
      <c r="P7" s="79">
        <f t="shared" si="8"/>
        <v>8</v>
      </c>
      <c r="Q7" s="52">
        <v>370000</v>
      </c>
      <c r="R7" s="77">
        <f t="shared" si="9"/>
        <v>2960000</v>
      </c>
      <c r="S7" s="50"/>
    </row>
    <row r="8" spans="1:20" s="31" customFormat="1" x14ac:dyDescent="0.3">
      <c r="A8" s="61">
        <f t="shared" si="12"/>
        <v>5</v>
      </c>
      <c r="B8" s="28" t="s">
        <v>37</v>
      </c>
      <c r="C8" s="48" t="s">
        <v>60</v>
      </c>
      <c r="D8" s="90" t="s">
        <v>4</v>
      </c>
      <c r="E8" s="41" t="s">
        <v>9</v>
      </c>
      <c r="F8" s="21" t="s">
        <v>9</v>
      </c>
      <c r="G8" s="21" t="s">
        <v>9</v>
      </c>
      <c r="H8" s="35"/>
      <c r="I8" s="21" t="s">
        <v>9</v>
      </c>
      <c r="J8" s="21" t="s">
        <v>9</v>
      </c>
      <c r="K8" s="210"/>
      <c r="L8" s="210" t="s">
        <v>9</v>
      </c>
      <c r="M8" s="25" t="s">
        <v>9</v>
      </c>
      <c r="N8" s="51">
        <f t="shared" si="10"/>
        <v>7</v>
      </c>
      <c r="O8" s="78">
        <f t="shared" si="11"/>
        <v>0</v>
      </c>
      <c r="P8" s="79">
        <f t="shared" si="8"/>
        <v>7</v>
      </c>
      <c r="Q8" s="52">
        <v>370000</v>
      </c>
      <c r="R8" s="77">
        <f t="shared" si="9"/>
        <v>2590000</v>
      </c>
      <c r="S8" s="164">
        <v>1100000</v>
      </c>
    </row>
    <row r="9" spans="1:20" s="31" customFormat="1" x14ac:dyDescent="0.3">
      <c r="A9" s="61">
        <f t="shared" si="12"/>
        <v>6</v>
      </c>
      <c r="B9" s="28" t="s">
        <v>38</v>
      </c>
      <c r="C9" s="48" t="s">
        <v>80</v>
      </c>
      <c r="D9" s="90" t="s">
        <v>17</v>
      </c>
      <c r="E9" s="41" t="s">
        <v>9</v>
      </c>
      <c r="F9" s="21"/>
      <c r="G9" s="21" t="s">
        <v>9</v>
      </c>
      <c r="H9" s="35" t="s">
        <v>9</v>
      </c>
      <c r="I9" s="21" t="s">
        <v>9</v>
      </c>
      <c r="J9" s="21" t="s">
        <v>9</v>
      </c>
      <c r="K9" s="210" t="s">
        <v>9</v>
      </c>
      <c r="L9" s="210" t="s">
        <v>9</v>
      </c>
      <c r="M9" s="25"/>
      <c r="N9" s="51">
        <f t="shared" si="10"/>
        <v>7</v>
      </c>
      <c r="O9" s="78">
        <f t="shared" si="11"/>
        <v>0</v>
      </c>
      <c r="P9" s="79">
        <f t="shared" si="8"/>
        <v>7</v>
      </c>
      <c r="Q9" s="52">
        <v>350000</v>
      </c>
      <c r="R9" s="77">
        <f t="shared" si="9"/>
        <v>2450000</v>
      </c>
      <c r="S9" s="50"/>
    </row>
    <row r="10" spans="1:20" s="31" customFormat="1" x14ac:dyDescent="0.3">
      <c r="A10" s="61">
        <f t="shared" si="12"/>
        <v>7</v>
      </c>
      <c r="B10" s="28" t="s">
        <v>145</v>
      </c>
      <c r="C10" s="48" t="s">
        <v>60</v>
      </c>
      <c r="D10" s="90" t="s">
        <v>5</v>
      </c>
      <c r="E10" s="41" t="s">
        <v>9</v>
      </c>
      <c r="F10" s="21" t="s">
        <v>9</v>
      </c>
      <c r="G10" s="21" t="s">
        <v>9</v>
      </c>
      <c r="H10" s="35" t="s">
        <v>9</v>
      </c>
      <c r="I10" s="21" t="s">
        <v>9</v>
      </c>
      <c r="J10" s="21" t="s">
        <v>9</v>
      </c>
      <c r="K10" s="210" t="s">
        <v>9</v>
      </c>
      <c r="L10" s="210"/>
      <c r="M10" s="25" t="s">
        <v>9</v>
      </c>
      <c r="N10" s="51">
        <f t="shared" si="10"/>
        <v>8</v>
      </c>
      <c r="O10" s="78">
        <f t="shared" si="11"/>
        <v>0</v>
      </c>
      <c r="P10" s="79">
        <f t="shared" si="8"/>
        <v>8</v>
      </c>
      <c r="Q10" s="52">
        <v>320000</v>
      </c>
      <c r="R10" s="77">
        <f t="shared" si="9"/>
        <v>2560000</v>
      </c>
      <c r="S10" s="50"/>
    </row>
    <row r="11" spans="1:20" s="31" customFormat="1" x14ac:dyDescent="0.3">
      <c r="A11" s="61">
        <f t="shared" si="12"/>
        <v>8</v>
      </c>
      <c r="B11" s="28" t="s">
        <v>34</v>
      </c>
      <c r="C11" s="48" t="s">
        <v>80</v>
      </c>
      <c r="D11" s="90" t="s">
        <v>5</v>
      </c>
      <c r="E11" s="41" t="s">
        <v>9</v>
      </c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5" t="s">
        <v>9</v>
      </c>
      <c r="N11" s="51">
        <f t="shared" si="10"/>
        <v>9</v>
      </c>
      <c r="O11" s="78">
        <f t="shared" si="11"/>
        <v>0</v>
      </c>
      <c r="P11" s="79">
        <f t="shared" si="8"/>
        <v>9</v>
      </c>
      <c r="Q11" s="52">
        <v>300000</v>
      </c>
      <c r="R11" s="77">
        <f t="shared" si="9"/>
        <v>2700000</v>
      </c>
      <c r="S11" s="50"/>
    </row>
    <row r="12" spans="1:20" s="31" customFormat="1" x14ac:dyDescent="0.3">
      <c r="A12" s="61">
        <f t="shared" si="12"/>
        <v>9</v>
      </c>
      <c r="B12" s="28" t="s">
        <v>46</v>
      </c>
      <c r="C12" s="48" t="s">
        <v>60</v>
      </c>
      <c r="D12" s="90" t="s">
        <v>5</v>
      </c>
      <c r="E12" s="41" t="s">
        <v>9</v>
      </c>
      <c r="F12" s="21" t="s">
        <v>9</v>
      </c>
      <c r="G12" s="21" t="s">
        <v>9</v>
      </c>
      <c r="H12" s="35" t="s">
        <v>9</v>
      </c>
      <c r="I12" s="21" t="s">
        <v>9</v>
      </c>
      <c r="J12" s="21" t="s">
        <v>9</v>
      </c>
      <c r="K12" s="210" t="s">
        <v>9</v>
      </c>
      <c r="L12" s="210" t="s">
        <v>9</v>
      </c>
      <c r="M12" s="25" t="s">
        <v>9</v>
      </c>
      <c r="N12" s="51">
        <f t="shared" si="10"/>
        <v>9</v>
      </c>
      <c r="O12" s="78">
        <f t="shared" si="11"/>
        <v>0</v>
      </c>
      <c r="P12" s="79">
        <f t="shared" si="8"/>
        <v>9</v>
      </c>
      <c r="Q12" s="52">
        <v>360000</v>
      </c>
      <c r="R12" s="77">
        <f t="shared" si="9"/>
        <v>3240000</v>
      </c>
      <c r="S12" s="50"/>
    </row>
    <row r="13" spans="1:20" s="31" customFormat="1" x14ac:dyDescent="0.3">
      <c r="A13" s="61">
        <f t="shared" si="12"/>
        <v>10</v>
      </c>
      <c r="B13" s="28" t="s">
        <v>42</v>
      </c>
      <c r="C13" s="48" t="s">
        <v>80</v>
      </c>
      <c r="D13" s="90" t="s">
        <v>4</v>
      </c>
      <c r="E13" s="41" t="s">
        <v>9</v>
      </c>
      <c r="F13" s="21" t="s">
        <v>9</v>
      </c>
      <c r="G13" s="21" t="s">
        <v>9</v>
      </c>
      <c r="H13" s="35" t="s">
        <v>9</v>
      </c>
      <c r="I13" s="21" t="s">
        <v>9</v>
      </c>
      <c r="J13" s="21" t="s">
        <v>9</v>
      </c>
      <c r="K13" s="210" t="s">
        <v>9</v>
      </c>
      <c r="L13" s="210" t="s">
        <v>9</v>
      </c>
      <c r="M13" s="25" t="s">
        <v>9</v>
      </c>
      <c r="N13" s="51">
        <f t="shared" si="10"/>
        <v>9</v>
      </c>
      <c r="O13" s="78">
        <f t="shared" si="11"/>
        <v>0</v>
      </c>
      <c r="P13" s="79">
        <f t="shared" si="8"/>
        <v>9</v>
      </c>
      <c r="Q13" s="52">
        <v>400000</v>
      </c>
      <c r="R13" s="77">
        <f t="shared" si="9"/>
        <v>3600000</v>
      </c>
      <c r="S13" s="50"/>
    </row>
    <row r="14" spans="1:20" s="31" customFormat="1" x14ac:dyDescent="0.3">
      <c r="A14" s="61">
        <v>11</v>
      </c>
      <c r="B14" s="28" t="s">
        <v>43</v>
      </c>
      <c r="C14" s="48" t="s">
        <v>80</v>
      </c>
      <c r="D14" s="90" t="s">
        <v>5</v>
      </c>
      <c r="E14" s="41" t="s">
        <v>9</v>
      </c>
      <c r="F14" s="21" t="s">
        <v>9</v>
      </c>
      <c r="G14" s="21" t="s">
        <v>9</v>
      </c>
      <c r="H14" s="35" t="s">
        <v>9</v>
      </c>
      <c r="I14" s="21" t="s">
        <v>9</v>
      </c>
      <c r="J14" s="21" t="s">
        <v>9</v>
      </c>
      <c r="K14" s="210"/>
      <c r="L14" s="210" t="s">
        <v>9</v>
      </c>
      <c r="M14" s="25" t="s">
        <v>9</v>
      </c>
      <c r="N14" s="51">
        <f t="shared" si="10"/>
        <v>8</v>
      </c>
      <c r="O14" s="78">
        <f t="shared" si="11"/>
        <v>0</v>
      </c>
      <c r="P14" s="79">
        <f t="shared" si="8"/>
        <v>8</v>
      </c>
      <c r="Q14" s="52">
        <v>280000</v>
      </c>
      <c r="R14" s="77">
        <f t="shared" si="9"/>
        <v>2240000</v>
      </c>
      <c r="S14" s="50"/>
    </row>
    <row r="15" spans="1:20" s="31" customFormat="1" x14ac:dyDescent="0.3">
      <c r="A15" s="61">
        <f t="shared" si="12"/>
        <v>12</v>
      </c>
      <c r="B15" s="28" t="s">
        <v>41</v>
      </c>
      <c r="C15" s="48" t="s">
        <v>80</v>
      </c>
      <c r="D15" s="90" t="s">
        <v>4</v>
      </c>
      <c r="E15" s="41" t="s">
        <v>9</v>
      </c>
      <c r="F15" s="21" t="s">
        <v>9</v>
      </c>
      <c r="G15" s="21" t="s">
        <v>9</v>
      </c>
      <c r="H15" s="35" t="s">
        <v>9</v>
      </c>
      <c r="I15" s="21" t="s">
        <v>9</v>
      </c>
      <c r="J15" s="21" t="s">
        <v>8</v>
      </c>
      <c r="K15" s="210"/>
      <c r="L15" s="210" t="s">
        <v>9</v>
      </c>
      <c r="M15" s="25" t="s">
        <v>8</v>
      </c>
      <c r="N15" s="51">
        <f t="shared" si="10"/>
        <v>6</v>
      </c>
      <c r="O15" s="78">
        <f t="shared" si="11"/>
        <v>1</v>
      </c>
      <c r="P15" s="79">
        <f t="shared" si="8"/>
        <v>7</v>
      </c>
      <c r="Q15" s="52">
        <v>400000</v>
      </c>
      <c r="R15" s="77">
        <f t="shared" si="9"/>
        <v>2800000</v>
      </c>
      <c r="S15" s="50"/>
    </row>
    <row r="16" spans="1:20" s="31" customFormat="1" x14ac:dyDescent="0.3">
      <c r="A16" s="61">
        <f>A15+1</f>
        <v>13</v>
      </c>
      <c r="B16" s="28" t="s">
        <v>47</v>
      </c>
      <c r="C16" s="48"/>
      <c r="D16" s="90" t="s">
        <v>4</v>
      </c>
      <c r="E16" s="41" t="s">
        <v>9</v>
      </c>
      <c r="F16" s="21" t="s">
        <v>9</v>
      </c>
      <c r="G16" s="21" t="s">
        <v>9</v>
      </c>
      <c r="H16" s="35" t="s">
        <v>9</v>
      </c>
      <c r="I16" s="21" t="s">
        <v>9</v>
      </c>
      <c r="J16" s="21"/>
      <c r="K16" s="210" t="s">
        <v>9</v>
      </c>
      <c r="L16" s="210" t="s">
        <v>9</v>
      </c>
      <c r="M16" s="25" t="s">
        <v>9</v>
      </c>
      <c r="N16" s="51">
        <f t="shared" si="10"/>
        <v>8</v>
      </c>
      <c r="O16" s="78">
        <f t="shared" si="11"/>
        <v>0</v>
      </c>
      <c r="P16" s="79">
        <f t="shared" si="8"/>
        <v>8</v>
      </c>
      <c r="Q16" s="52">
        <v>390000</v>
      </c>
      <c r="R16" s="52">
        <f t="shared" si="9"/>
        <v>3120000</v>
      </c>
      <c r="S16" s="50"/>
    </row>
    <row r="17" spans="1:19" s="31" customFormat="1" x14ac:dyDescent="0.3">
      <c r="A17" s="61">
        <v>14</v>
      </c>
      <c r="B17" s="28" t="s">
        <v>61</v>
      </c>
      <c r="C17" s="48" t="s">
        <v>60</v>
      </c>
      <c r="D17" s="92" t="s">
        <v>4</v>
      </c>
      <c r="E17" s="41" t="s">
        <v>9</v>
      </c>
      <c r="F17" s="21" t="s">
        <v>9</v>
      </c>
      <c r="G17" s="21" t="s">
        <v>9</v>
      </c>
      <c r="H17" s="35" t="s">
        <v>9</v>
      </c>
      <c r="I17" s="21" t="s">
        <v>9</v>
      </c>
      <c r="J17" s="21" t="s">
        <v>9</v>
      </c>
      <c r="K17" s="210"/>
      <c r="L17" s="210" t="s">
        <v>9</v>
      </c>
      <c r="M17" s="25" t="s">
        <v>9</v>
      </c>
      <c r="N17" s="51">
        <f t="shared" si="10"/>
        <v>8</v>
      </c>
      <c r="O17" s="78">
        <f t="shared" si="11"/>
        <v>0</v>
      </c>
      <c r="P17" s="79">
        <f t="shared" si="8"/>
        <v>8</v>
      </c>
      <c r="Q17" s="53">
        <v>370000</v>
      </c>
      <c r="R17" s="77">
        <f t="shared" si="9"/>
        <v>2960000</v>
      </c>
      <c r="S17" s="50"/>
    </row>
    <row r="18" spans="1:19" s="31" customFormat="1" x14ac:dyDescent="0.3">
      <c r="A18" s="61">
        <v>15</v>
      </c>
      <c r="B18" s="28" t="s">
        <v>62</v>
      </c>
      <c r="C18" s="48"/>
      <c r="D18" s="92" t="s">
        <v>4</v>
      </c>
      <c r="E18" s="41"/>
      <c r="F18" s="21"/>
      <c r="G18" s="21"/>
      <c r="H18" s="35"/>
      <c r="I18" s="21"/>
      <c r="J18" s="21"/>
      <c r="K18" s="210"/>
      <c r="L18" s="210"/>
      <c r="M18" s="25" t="s">
        <v>9</v>
      </c>
      <c r="N18" s="51">
        <f t="shared" si="10"/>
        <v>1</v>
      </c>
      <c r="O18" s="78">
        <f t="shared" si="11"/>
        <v>0</v>
      </c>
      <c r="P18" s="79">
        <f t="shared" si="8"/>
        <v>1</v>
      </c>
      <c r="Q18" s="53">
        <v>360000</v>
      </c>
      <c r="R18" s="77">
        <f t="shared" si="9"/>
        <v>360000</v>
      </c>
      <c r="S18" s="50"/>
    </row>
    <row r="19" spans="1:19" s="31" customFormat="1" x14ac:dyDescent="0.3">
      <c r="A19" s="61">
        <v>16</v>
      </c>
      <c r="B19" s="28" t="s">
        <v>63</v>
      </c>
      <c r="C19" s="48" t="s">
        <v>60</v>
      </c>
      <c r="D19" s="92" t="s">
        <v>4</v>
      </c>
      <c r="E19" s="41" t="s">
        <v>9</v>
      </c>
      <c r="F19" s="21" t="s">
        <v>9</v>
      </c>
      <c r="G19" s="21" t="s">
        <v>9</v>
      </c>
      <c r="H19" s="35" t="s">
        <v>9</v>
      </c>
      <c r="I19" s="21" t="s">
        <v>9</v>
      </c>
      <c r="J19" s="21" t="s">
        <v>9</v>
      </c>
      <c r="K19" s="210" t="s">
        <v>9</v>
      </c>
      <c r="L19" s="210" t="s">
        <v>9</v>
      </c>
      <c r="M19" s="25" t="s">
        <v>9</v>
      </c>
      <c r="N19" s="51">
        <f t="shared" si="10"/>
        <v>9</v>
      </c>
      <c r="O19" s="78">
        <f t="shared" si="11"/>
        <v>0</v>
      </c>
      <c r="P19" s="79">
        <f t="shared" si="8"/>
        <v>9</v>
      </c>
      <c r="Q19" s="53">
        <v>380000</v>
      </c>
      <c r="R19" s="77">
        <f t="shared" si="9"/>
        <v>3420000</v>
      </c>
      <c r="S19" s="50"/>
    </row>
    <row r="20" spans="1:19" s="31" customFormat="1" x14ac:dyDescent="0.3">
      <c r="A20" s="61">
        <v>17</v>
      </c>
      <c r="B20" s="28" t="s">
        <v>59</v>
      </c>
      <c r="C20" s="48" t="s">
        <v>60</v>
      </c>
      <c r="D20" s="92" t="s">
        <v>5</v>
      </c>
      <c r="E20" s="41" t="s">
        <v>9</v>
      </c>
      <c r="F20" s="21" t="s">
        <v>9</v>
      </c>
      <c r="G20" s="21" t="s">
        <v>9</v>
      </c>
      <c r="H20" s="35" t="s">
        <v>9</v>
      </c>
      <c r="I20" s="21" t="s">
        <v>9</v>
      </c>
      <c r="J20" s="21" t="s">
        <v>9</v>
      </c>
      <c r="K20" s="210"/>
      <c r="L20" s="210" t="s">
        <v>9</v>
      </c>
      <c r="M20" s="25" t="s">
        <v>9</v>
      </c>
      <c r="N20" s="51">
        <f t="shared" si="10"/>
        <v>8</v>
      </c>
      <c r="O20" s="78">
        <f t="shared" si="11"/>
        <v>0</v>
      </c>
      <c r="P20" s="79">
        <f t="shared" si="8"/>
        <v>8</v>
      </c>
      <c r="Q20" s="53">
        <v>270000</v>
      </c>
      <c r="R20" s="77">
        <f t="shared" si="9"/>
        <v>2160000</v>
      </c>
      <c r="S20" s="50"/>
    </row>
    <row r="21" spans="1:19" s="31" customFormat="1" x14ac:dyDescent="0.3">
      <c r="A21" s="61">
        <v>18</v>
      </c>
      <c r="B21" s="28" t="s">
        <v>64</v>
      </c>
      <c r="C21" s="48" t="s">
        <v>60</v>
      </c>
      <c r="D21" s="92" t="s">
        <v>4</v>
      </c>
      <c r="E21" s="41" t="s">
        <v>9</v>
      </c>
      <c r="F21" s="21" t="s">
        <v>9</v>
      </c>
      <c r="G21" s="21" t="s">
        <v>9</v>
      </c>
      <c r="H21" s="35" t="s">
        <v>9</v>
      </c>
      <c r="I21" s="21"/>
      <c r="J21" s="21" t="s">
        <v>9</v>
      </c>
      <c r="K21" s="210"/>
      <c r="L21" s="210" t="s">
        <v>9</v>
      </c>
      <c r="M21" s="25" t="s">
        <v>9</v>
      </c>
      <c r="N21" s="51">
        <f t="shared" si="10"/>
        <v>7</v>
      </c>
      <c r="O21" s="78">
        <f t="shared" si="11"/>
        <v>0</v>
      </c>
      <c r="P21" s="79">
        <f t="shared" si="8"/>
        <v>7</v>
      </c>
      <c r="Q21" s="53">
        <v>380000</v>
      </c>
      <c r="R21" s="77">
        <f t="shared" si="9"/>
        <v>2660000</v>
      </c>
      <c r="S21" s="50"/>
    </row>
    <row r="22" spans="1:19" s="55" customFormat="1" x14ac:dyDescent="0.3">
      <c r="A22" s="61">
        <v>19</v>
      </c>
      <c r="B22" s="158" t="s">
        <v>65</v>
      </c>
      <c r="C22" s="29" t="s">
        <v>60</v>
      </c>
      <c r="D22" s="92" t="s">
        <v>4</v>
      </c>
      <c r="E22" s="41"/>
      <c r="F22" s="21"/>
      <c r="G22" s="21"/>
      <c r="H22" s="35"/>
      <c r="I22" s="21" t="s">
        <v>9</v>
      </c>
      <c r="J22" s="21" t="s">
        <v>9</v>
      </c>
      <c r="K22" s="210"/>
      <c r="L22" s="210"/>
      <c r="M22" s="25"/>
      <c r="N22" s="51">
        <f t="shared" si="10"/>
        <v>2</v>
      </c>
      <c r="O22" s="78">
        <f t="shared" si="11"/>
        <v>0</v>
      </c>
      <c r="P22" s="79">
        <f t="shared" si="8"/>
        <v>2</v>
      </c>
      <c r="Q22" s="53">
        <v>370000</v>
      </c>
      <c r="R22" s="77">
        <f t="shared" si="9"/>
        <v>740000</v>
      </c>
      <c r="S22" s="30"/>
    </row>
    <row r="23" spans="1:19" s="31" customFormat="1" x14ac:dyDescent="0.3">
      <c r="A23" s="61">
        <v>20</v>
      </c>
      <c r="B23" s="48" t="s">
        <v>126</v>
      </c>
      <c r="C23" s="48"/>
      <c r="D23" s="91" t="s">
        <v>5</v>
      </c>
      <c r="E23" s="41"/>
      <c r="F23" s="21"/>
      <c r="G23" s="21"/>
      <c r="H23" s="35"/>
      <c r="I23" s="21"/>
      <c r="J23" s="21"/>
      <c r="K23" s="210"/>
      <c r="L23" s="210"/>
      <c r="M23" s="25"/>
      <c r="N23" s="51">
        <f t="shared" si="10"/>
        <v>0</v>
      </c>
      <c r="O23" s="78">
        <f t="shared" si="11"/>
        <v>0</v>
      </c>
      <c r="P23" s="79">
        <f t="shared" si="8"/>
        <v>0</v>
      </c>
      <c r="Q23" s="52">
        <v>280000</v>
      </c>
      <c r="R23" s="77">
        <f t="shared" si="9"/>
        <v>0</v>
      </c>
      <c r="S23" s="50"/>
    </row>
    <row r="24" spans="1:19" s="31" customFormat="1" x14ac:dyDescent="0.3">
      <c r="A24" s="61">
        <v>21</v>
      </c>
      <c r="B24" s="116" t="s">
        <v>143</v>
      </c>
      <c r="C24" s="116"/>
      <c r="D24" s="117" t="s">
        <v>4</v>
      </c>
      <c r="E24" s="41" t="s">
        <v>9</v>
      </c>
      <c r="F24" s="21" t="s">
        <v>9</v>
      </c>
      <c r="G24" s="21" t="s">
        <v>9</v>
      </c>
      <c r="H24" s="35" t="s">
        <v>9</v>
      </c>
      <c r="I24" s="21"/>
      <c r="J24" s="21" t="s">
        <v>9</v>
      </c>
      <c r="K24" s="210" t="s">
        <v>9</v>
      </c>
      <c r="L24" s="210" t="s">
        <v>9</v>
      </c>
      <c r="M24" s="25" t="s">
        <v>9</v>
      </c>
      <c r="N24" s="51">
        <f t="shared" si="10"/>
        <v>8</v>
      </c>
      <c r="O24" s="78">
        <f t="shared" si="11"/>
        <v>0</v>
      </c>
      <c r="P24" s="79">
        <f t="shared" si="8"/>
        <v>8</v>
      </c>
      <c r="Q24" s="53">
        <v>380000</v>
      </c>
      <c r="R24" s="77">
        <f t="shared" si="9"/>
        <v>3040000</v>
      </c>
      <c r="S24" s="86"/>
    </row>
    <row r="25" spans="1:19" s="31" customFormat="1" x14ac:dyDescent="0.3">
      <c r="A25" s="61">
        <v>22</v>
      </c>
      <c r="B25" s="116" t="s">
        <v>144</v>
      </c>
      <c r="C25" s="116"/>
      <c r="D25" s="117" t="s">
        <v>4</v>
      </c>
      <c r="E25" s="41" t="s">
        <v>9</v>
      </c>
      <c r="F25" s="21" t="s">
        <v>9</v>
      </c>
      <c r="G25" s="21" t="s">
        <v>9</v>
      </c>
      <c r="H25" s="35" t="s">
        <v>9</v>
      </c>
      <c r="I25" s="21"/>
      <c r="J25" s="21" t="s">
        <v>9</v>
      </c>
      <c r="K25" s="210" t="s">
        <v>9</v>
      </c>
      <c r="L25" s="210" t="s">
        <v>9</v>
      </c>
      <c r="M25" s="25"/>
      <c r="N25" s="51">
        <f t="shared" si="10"/>
        <v>7</v>
      </c>
      <c r="O25" s="78">
        <f t="shared" si="11"/>
        <v>0</v>
      </c>
      <c r="P25" s="79">
        <f t="shared" si="8"/>
        <v>7</v>
      </c>
      <c r="Q25" s="53">
        <v>280000</v>
      </c>
      <c r="R25" s="77">
        <f t="shared" si="9"/>
        <v>1960000</v>
      </c>
      <c r="S25" s="86"/>
    </row>
    <row r="26" spans="1:19" s="31" customFormat="1" x14ac:dyDescent="0.3">
      <c r="A26" s="61">
        <v>23</v>
      </c>
      <c r="B26" s="116" t="s">
        <v>164</v>
      </c>
      <c r="C26" s="116"/>
      <c r="D26" s="117" t="s">
        <v>5</v>
      </c>
      <c r="E26" s="127"/>
      <c r="F26" s="21"/>
      <c r="G26" s="21"/>
      <c r="H26" s="35"/>
      <c r="I26" s="21"/>
      <c r="J26" s="21"/>
      <c r="K26" s="210"/>
      <c r="L26" s="210"/>
      <c r="M26" s="25"/>
      <c r="N26" s="51">
        <f t="shared" si="10"/>
        <v>0</v>
      </c>
      <c r="O26" s="78">
        <f t="shared" si="11"/>
        <v>0</v>
      </c>
      <c r="P26" s="79">
        <f t="shared" si="8"/>
        <v>0</v>
      </c>
      <c r="Q26" s="53">
        <v>270000</v>
      </c>
      <c r="R26" s="77">
        <f t="shared" si="9"/>
        <v>0</v>
      </c>
      <c r="S26" s="86"/>
    </row>
    <row r="27" spans="1:19" s="31" customFormat="1" x14ac:dyDescent="0.3">
      <c r="A27" s="61">
        <v>24</v>
      </c>
      <c r="B27" s="116" t="s">
        <v>171</v>
      </c>
      <c r="C27" s="116"/>
      <c r="D27" s="117" t="s">
        <v>5</v>
      </c>
      <c r="E27" s="127" t="s">
        <v>9</v>
      </c>
      <c r="F27" s="21" t="s">
        <v>9</v>
      </c>
      <c r="G27" s="21" t="s">
        <v>9</v>
      </c>
      <c r="H27" s="35" t="s">
        <v>9</v>
      </c>
      <c r="I27" s="21" t="s">
        <v>9</v>
      </c>
      <c r="J27" s="21" t="s">
        <v>9</v>
      </c>
      <c r="K27" s="210"/>
      <c r="L27" s="210"/>
      <c r="M27" s="25"/>
      <c r="N27" s="51">
        <f t="shared" si="10"/>
        <v>6</v>
      </c>
      <c r="O27" s="78">
        <f t="shared" si="11"/>
        <v>0</v>
      </c>
      <c r="P27" s="139">
        <f t="shared" si="8"/>
        <v>6</v>
      </c>
      <c r="Q27" s="53">
        <v>280000</v>
      </c>
      <c r="R27" s="54">
        <f t="shared" si="9"/>
        <v>1680000</v>
      </c>
      <c r="S27" s="86"/>
    </row>
    <row r="28" spans="1:19" s="31" customFormat="1" x14ac:dyDescent="0.3">
      <c r="A28" s="61">
        <v>25</v>
      </c>
      <c r="B28" s="116" t="s">
        <v>172</v>
      </c>
      <c r="C28" s="116"/>
      <c r="D28" s="117" t="s">
        <v>4</v>
      </c>
      <c r="E28" s="21"/>
      <c r="F28" s="21"/>
      <c r="G28" s="35"/>
      <c r="H28" s="21"/>
      <c r="I28" s="21"/>
      <c r="J28" s="21"/>
      <c r="K28" s="211"/>
      <c r="L28" s="211"/>
      <c r="M28" s="33"/>
      <c r="N28" s="51">
        <f t="shared" si="10"/>
        <v>0</v>
      </c>
      <c r="O28" s="78">
        <f t="shared" si="11"/>
        <v>0</v>
      </c>
      <c r="P28" s="139">
        <f t="shared" si="8"/>
        <v>0</v>
      </c>
      <c r="Q28" s="53">
        <v>370000</v>
      </c>
      <c r="R28" s="54">
        <f t="shared" si="9"/>
        <v>0</v>
      </c>
      <c r="S28" s="86"/>
    </row>
    <row r="29" spans="1:19" s="31" customFormat="1" x14ac:dyDescent="0.3">
      <c r="A29" s="61">
        <v>26</v>
      </c>
      <c r="B29" s="116" t="s">
        <v>186</v>
      </c>
      <c r="C29" s="116"/>
      <c r="D29" s="117" t="s">
        <v>5</v>
      </c>
      <c r="E29" s="127"/>
      <c r="F29" s="32"/>
      <c r="G29" s="32"/>
      <c r="H29" s="36"/>
      <c r="I29" s="32"/>
      <c r="J29" s="32"/>
      <c r="K29" s="211"/>
      <c r="L29" s="211"/>
      <c r="M29" s="33"/>
      <c r="N29" s="51">
        <f t="shared" si="10"/>
        <v>0</v>
      </c>
      <c r="O29" s="78">
        <f t="shared" si="11"/>
        <v>0</v>
      </c>
      <c r="P29" s="139">
        <f t="shared" si="8"/>
        <v>0</v>
      </c>
      <c r="Q29" s="53">
        <v>260000</v>
      </c>
      <c r="R29" s="54">
        <f t="shared" si="9"/>
        <v>0</v>
      </c>
      <c r="S29" s="86"/>
    </row>
    <row r="30" spans="1:19" s="31" customFormat="1" x14ac:dyDescent="0.3">
      <c r="A30" s="61">
        <v>27</v>
      </c>
      <c r="B30" s="116" t="s">
        <v>194</v>
      </c>
      <c r="C30" s="116"/>
      <c r="D30" s="117" t="s">
        <v>4</v>
      </c>
      <c r="E30" s="127" t="s">
        <v>9</v>
      </c>
      <c r="F30" s="32" t="s">
        <v>9</v>
      </c>
      <c r="G30" s="32" t="s">
        <v>9</v>
      </c>
      <c r="H30" s="36" t="s">
        <v>9</v>
      </c>
      <c r="I30" s="32" t="s">
        <v>9</v>
      </c>
      <c r="J30" s="32" t="s">
        <v>9</v>
      </c>
      <c r="K30" s="211" t="s">
        <v>9</v>
      </c>
      <c r="L30" s="211"/>
      <c r="M30" s="33"/>
      <c r="N30" s="51">
        <f t="shared" si="10"/>
        <v>7</v>
      </c>
      <c r="O30" s="78">
        <f t="shared" si="11"/>
        <v>0</v>
      </c>
      <c r="P30" s="139">
        <f t="shared" si="8"/>
        <v>7</v>
      </c>
      <c r="Q30" s="53">
        <v>380000</v>
      </c>
      <c r="R30" s="54">
        <f t="shared" si="9"/>
        <v>2660000</v>
      </c>
      <c r="S30" s="86"/>
    </row>
    <row r="31" spans="1:19" s="31" customFormat="1" x14ac:dyDescent="0.3">
      <c r="A31" s="61">
        <v>28</v>
      </c>
      <c r="B31" s="116" t="s">
        <v>220</v>
      </c>
      <c r="C31" s="116"/>
      <c r="D31" s="117" t="s">
        <v>4</v>
      </c>
      <c r="E31" s="127" t="s">
        <v>9</v>
      </c>
      <c r="F31" s="32" t="s">
        <v>9</v>
      </c>
      <c r="G31" s="32" t="s">
        <v>9</v>
      </c>
      <c r="H31" s="36" t="s">
        <v>9</v>
      </c>
      <c r="I31" s="32" t="s">
        <v>9</v>
      </c>
      <c r="J31" s="32" t="s">
        <v>9</v>
      </c>
      <c r="K31" s="211"/>
      <c r="L31" s="211" t="s">
        <v>9</v>
      </c>
      <c r="M31" s="33" t="s">
        <v>9</v>
      </c>
      <c r="N31" s="51">
        <f t="shared" si="10"/>
        <v>8</v>
      </c>
      <c r="O31" s="78">
        <f t="shared" si="11"/>
        <v>0</v>
      </c>
      <c r="P31" s="139">
        <f t="shared" si="8"/>
        <v>8</v>
      </c>
      <c r="Q31" s="53">
        <v>370000</v>
      </c>
      <c r="R31" s="54">
        <f t="shared" si="9"/>
        <v>2960000</v>
      </c>
      <c r="S31" s="86"/>
    </row>
    <row r="32" spans="1:19" s="31" customFormat="1" x14ac:dyDescent="0.3">
      <c r="A32" s="61">
        <v>29</v>
      </c>
      <c r="B32" s="116" t="s">
        <v>221</v>
      </c>
      <c r="C32" s="116"/>
      <c r="D32" s="117" t="s">
        <v>4</v>
      </c>
      <c r="E32" s="127" t="s">
        <v>9</v>
      </c>
      <c r="F32" s="32" t="s">
        <v>9</v>
      </c>
      <c r="G32" s="32" t="s">
        <v>9</v>
      </c>
      <c r="H32" s="36" t="s">
        <v>9</v>
      </c>
      <c r="I32" s="32" t="s">
        <v>9</v>
      </c>
      <c r="J32" s="32"/>
      <c r="K32" s="211"/>
      <c r="L32" s="211"/>
      <c r="M32" s="33"/>
      <c r="N32" s="51">
        <f t="shared" si="10"/>
        <v>5</v>
      </c>
      <c r="O32" s="78">
        <f t="shared" si="11"/>
        <v>0</v>
      </c>
      <c r="P32" s="139">
        <f t="shared" si="8"/>
        <v>5</v>
      </c>
      <c r="Q32" s="53">
        <v>380000</v>
      </c>
      <c r="R32" s="54">
        <f t="shared" si="9"/>
        <v>1900000</v>
      </c>
      <c r="S32" s="86"/>
    </row>
    <row r="33" spans="1:19" s="31" customFormat="1" x14ac:dyDescent="0.3">
      <c r="A33" s="61">
        <v>30</v>
      </c>
      <c r="B33" s="48" t="s">
        <v>222</v>
      </c>
      <c r="C33" s="48"/>
      <c r="D33" s="91" t="s">
        <v>4</v>
      </c>
      <c r="E33" s="41" t="s">
        <v>9</v>
      </c>
      <c r="F33" s="32" t="s">
        <v>9</v>
      </c>
      <c r="G33" s="32" t="s">
        <v>9</v>
      </c>
      <c r="H33" s="36" t="s">
        <v>9</v>
      </c>
      <c r="I33" s="32" t="s">
        <v>9</v>
      </c>
      <c r="J33" s="32" t="s">
        <v>9</v>
      </c>
      <c r="K33" s="211"/>
      <c r="L33" s="211" t="s">
        <v>9</v>
      </c>
      <c r="M33" s="33"/>
      <c r="N33" s="51">
        <f t="shared" si="10"/>
        <v>7</v>
      </c>
      <c r="O33" s="78">
        <f t="shared" si="11"/>
        <v>0</v>
      </c>
      <c r="P33" s="139">
        <f t="shared" si="8"/>
        <v>7</v>
      </c>
      <c r="Q33" s="53">
        <v>360000</v>
      </c>
      <c r="R33" s="54">
        <f t="shared" si="9"/>
        <v>2520000</v>
      </c>
      <c r="S33" s="86"/>
    </row>
    <row r="34" spans="1:19" s="31" customFormat="1" x14ac:dyDescent="0.3">
      <c r="A34" s="61">
        <v>31</v>
      </c>
      <c r="B34" s="116" t="s">
        <v>223</v>
      </c>
      <c r="C34" s="116"/>
      <c r="D34" s="117" t="s">
        <v>5</v>
      </c>
      <c r="E34" s="127" t="s">
        <v>9</v>
      </c>
      <c r="F34" s="32" t="s">
        <v>9</v>
      </c>
      <c r="G34" s="32" t="s">
        <v>9</v>
      </c>
      <c r="H34" s="36" t="s">
        <v>9</v>
      </c>
      <c r="I34" s="32" t="s">
        <v>9</v>
      </c>
      <c r="J34" s="32" t="s">
        <v>9</v>
      </c>
      <c r="K34" s="211" t="s">
        <v>9</v>
      </c>
      <c r="L34" s="211"/>
      <c r="M34" s="33"/>
      <c r="N34" s="51">
        <f t="shared" si="10"/>
        <v>7</v>
      </c>
      <c r="O34" s="78">
        <f t="shared" si="11"/>
        <v>0</v>
      </c>
      <c r="P34" s="139">
        <f t="shared" si="8"/>
        <v>7</v>
      </c>
      <c r="Q34" s="53">
        <v>280000</v>
      </c>
      <c r="R34" s="54">
        <f t="shared" si="9"/>
        <v>1960000</v>
      </c>
      <c r="S34" s="86"/>
    </row>
    <row r="35" spans="1:19" s="31" customFormat="1" x14ac:dyDescent="0.3">
      <c r="A35" s="61">
        <v>32</v>
      </c>
      <c r="B35" s="116" t="s">
        <v>224</v>
      </c>
      <c r="C35" s="116"/>
      <c r="D35" s="117" t="s">
        <v>4</v>
      </c>
      <c r="E35" s="127" t="s">
        <v>9</v>
      </c>
      <c r="F35" s="32" t="s">
        <v>9</v>
      </c>
      <c r="G35" s="32" t="s">
        <v>9</v>
      </c>
      <c r="H35" s="36" t="s">
        <v>9</v>
      </c>
      <c r="I35" s="32" t="s">
        <v>9</v>
      </c>
      <c r="J35" s="32" t="s">
        <v>9</v>
      </c>
      <c r="K35" s="211"/>
      <c r="L35" s="211" t="s">
        <v>9</v>
      </c>
      <c r="M35" s="33" t="s">
        <v>9</v>
      </c>
      <c r="N35" s="51">
        <f t="shared" si="10"/>
        <v>8</v>
      </c>
      <c r="O35" s="78">
        <f t="shared" si="11"/>
        <v>0</v>
      </c>
      <c r="P35" s="139">
        <f t="shared" si="8"/>
        <v>8</v>
      </c>
      <c r="Q35" s="53">
        <v>370000</v>
      </c>
      <c r="R35" s="54">
        <f t="shared" si="9"/>
        <v>2960000</v>
      </c>
      <c r="S35" s="86"/>
    </row>
    <row r="36" spans="1:19" s="31" customFormat="1" x14ac:dyDescent="0.3">
      <c r="A36" s="61">
        <v>33</v>
      </c>
      <c r="B36" s="116" t="s">
        <v>225</v>
      </c>
      <c r="C36" s="116"/>
      <c r="D36" s="117" t="s">
        <v>5</v>
      </c>
      <c r="E36" s="127" t="s">
        <v>9</v>
      </c>
      <c r="F36" s="32" t="s">
        <v>9</v>
      </c>
      <c r="G36" s="32" t="s">
        <v>9</v>
      </c>
      <c r="H36" s="36" t="s">
        <v>9</v>
      </c>
      <c r="I36" s="32" t="s">
        <v>9</v>
      </c>
      <c r="J36" s="32" t="s">
        <v>9</v>
      </c>
      <c r="K36" s="211"/>
      <c r="L36" s="211" t="s">
        <v>9</v>
      </c>
      <c r="M36" s="33" t="s">
        <v>9</v>
      </c>
      <c r="N36" s="51">
        <f t="shared" si="10"/>
        <v>8</v>
      </c>
      <c r="O36" s="78">
        <f t="shared" si="11"/>
        <v>0</v>
      </c>
      <c r="P36" s="139">
        <f t="shared" si="8"/>
        <v>8</v>
      </c>
      <c r="Q36" s="53">
        <v>270000</v>
      </c>
      <c r="R36" s="54">
        <f t="shared" si="9"/>
        <v>2160000</v>
      </c>
      <c r="S36" s="86"/>
    </row>
    <row r="37" spans="1:19" s="31" customFormat="1" x14ac:dyDescent="0.3">
      <c r="A37" s="61">
        <v>34</v>
      </c>
      <c r="B37" s="116" t="s">
        <v>226</v>
      </c>
      <c r="C37" s="116"/>
      <c r="D37" s="117" t="s">
        <v>4</v>
      </c>
      <c r="E37" s="127" t="s">
        <v>9</v>
      </c>
      <c r="F37" s="32" t="s">
        <v>9</v>
      </c>
      <c r="G37" s="32" t="s">
        <v>9</v>
      </c>
      <c r="H37" s="36" t="s">
        <v>9</v>
      </c>
      <c r="I37" s="32" t="s">
        <v>9</v>
      </c>
      <c r="J37" s="32" t="s">
        <v>9</v>
      </c>
      <c r="K37" s="211"/>
      <c r="L37" s="211" t="s">
        <v>9</v>
      </c>
      <c r="M37" s="33"/>
      <c r="N37" s="51">
        <f t="shared" si="10"/>
        <v>7</v>
      </c>
      <c r="O37" s="78">
        <f t="shared" si="11"/>
        <v>0</v>
      </c>
      <c r="P37" s="139">
        <f t="shared" si="8"/>
        <v>7</v>
      </c>
      <c r="Q37" s="53">
        <v>360000</v>
      </c>
      <c r="R37" s="54">
        <f t="shared" si="9"/>
        <v>2520000</v>
      </c>
      <c r="S37" s="86"/>
    </row>
    <row r="38" spans="1:19" s="31" customFormat="1" x14ac:dyDescent="0.3">
      <c r="A38" s="61">
        <v>35</v>
      </c>
      <c r="B38" s="116" t="s">
        <v>229</v>
      </c>
      <c r="C38" s="116"/>
      <c r="D38" s="117" t="s">
        <v>5</v>
      </c>
      <c r="E38" s="127" t="s">
        <v>9</v>
      </c>
      <c r="F38" s="32" t="s">
        <v>9</v>
      </c>
      <c r="G38" s="32" t="s">
        <v>9</v>
      </c>
      <c r="H38" s="36" t="s">
        <v>9</v>
      </c>
      <c r="I38" s="32" t="s">
        <v>9</v>
      </c>
      <c r="J38" s="32" t="s">
        <v>9</v>
      </c>
      <c r="K38" s="211"/>
      <c r="L38" s="211" t="s">
        <v>9</v>
      </c>
      <c r="M38" s="33" t="s">
        <v>9</v>
      </c>
      <c r="N38" s="51">
        <f t="shared" si="10"/>
        <v>8</v>
      </c>
      <c r="O38" s="78">
        <f t="shared" si="11"/>
        <v>0</v>
      </c>
      <c r="P38" s="139">
        <f t="shared" si="8"/>
        <v>8</v>
      </c>
      <c r="Q38" s="53">
        <v>270000</v>
      </c>
      <c r="R38" s="54">
        <f t="shared" si="9"/>
        <v>2160000</v>
      </c>
      <c r="S38" s="86"/>
    </row>
    <row r="39" spans="1:19" s="55" customFormat="1" x14ac:dyDescent="0.3">
      <c r="A39" s="61">
        <v>36</v>
      </c>
      <c r="B39" s="159" t="s">
        <v>230</v>
      </c>
      <c r="C39" s="159"/>
      <c r="D39" s="160" t="s">
        <v>5</v>
      </c>
      <c r="E39" s="127"/>
      <c r="F39" s="32"/>
      <c r="G39" s="32"/>
      <c r="H39" s="36"/>
      <c r="I39" s="32"/>
      <c r="J39" s="32"/>
      <c r="K39" s="211"/>
      <c r="L39" s="211"/>
      <c r="M39" s="33"/>
      <c r="N39" s="51">
        <f t="shared" si="10"/>
        <v>0</v>
      </c>
      <c r="O39" s="78">
        <f t="shared" si="11"/>
        <v>0</v>
      </c>
      <c r="P39" s="139">
        <f t="shared" si="8"/>
        <v>0</v>
      </c>
      <c r="Q39" s="53">
        <v>260000</v>
      </c>
      <c r="R39" s="54">
        <f t="shared" si="9"/>
        <v>0</v>
      </c>
      <c r="S39" s="161"/>
    </row>
    <row r="40" spans="1:19" s="31" customFormat="1" x14ac:dyDescent="0.3">
      <c r="A40" s="61">
        <v>37</v>
      </c>
      <c r="B40" s="116" t="s">
        <v>231</v>
      </c>
      <c r="C40" s="116"/>
      <c r="D40" s="117" t="s">
        <v>4</v>
      </c>
      <c r="E40" s="127"/>
      <c r="F40" s="32"/>
      <c r="G40" s="32"/>
      <c r="H40" s="36"/>
      <c r="I40" s="32"/>
      <c r="J40" s="32"/>
      <c r="K40" s="211"/>
      <c r="L40" s="211"/>
      <c r="M40" s="33"/>
      <c r="N40" s="51">
        <f t="shared" si="10"/>
        <v>0</v>
      </c>
      <c r="O40" s="78">
        <f t="shared" si="11"/>
        <v>0</v>
      </c>
      <c r="P40" s="139">
        <f t="shared" si="8"/>
        <v>0</v>
      </c>
      <c r="Q40" s="53">
        <v>360000</v>
      </c>
      <c r="R40" s="54">
        <f t="shared" si="9"/>
        <v>0</v>
      </c>
      <c r="S40" s="86"/>
    </row>
    <row r="41" spans="1:19" s="31" customFormat="1" x14ac:dyDescent="0.3">
      <c r="A41" s="61">
        <v>38</v>
      </c>
      <c r="B41" s="116" t="s">
        <v>232</v>
      </c>
      <c r="C41" s="116"/>
      <c r="D41" s="117" t="s">
        <v>4</v>
      </c>
      <c r="E41" s="127"/>
      <c r="F41" s="32"/>
      <c r="G41" s="32"/>
      <c r="H41" s="36"/>
      <c r="I41" s="32"/>
      <c r="J41" s="32"/>
      <c r="K41" s="211"/>
      <c r="L41" s="211"/>
      <c r="M41" s="33"/>
      <c r="N41" s="51">
        <f t="shared" si="10"/>
        <v>0</v>
      </c>
      <c r="O41" s="78">
        <f t="shared" si="11"/>
        <v>0</v>
      </c>
      <c r="P41" s="139">
        <f t="shared" si="8"/>
        <v>0</v>
      </c>
      <c r="Q41" s="53">
        <v>360000</v>
      </c>
      <c r="R41" s="54">
        <f t="shared" si="9"/>
        <v>0</v>
      </c>
      <c r="S41" s="86"/>
    </row>
    <row r="42" spans="1:19" s="31" customFormat="1" x14ac:dyDescent="0.3">
      <c r="A42" s="61">
        <v>39</v>
      </c>
      <c r="B42" s="116" t="s">
        <v>233</v>
      </c>
      <c r="C42" s="116"/>
      <c r="D42" s="117" t="s">
        <v>5</v>
      </c>
      <c r="E42" s="127" t="s">
        <v>9</v>
      </c>
      <c r="F42" s="32" t="s">
        <v>9</v>
      </c>
      <c r="G42" s="32" t="s">
        <v>9</v>
      </c>
      <c r="H42" s="36"/>
      <c r="I42" s="32" t="s">
        <v>9</v>
      </c>
      <c r="J42" s="32" t="s">
        <v>9</v>
      </c>
      <c r="K42" s="211"/>
      <c r="L42" s="211" t="s">
        <v>9</v>
      </c>
      <c r="M42" s="33" t="s">
        <v>9</v>
      </c>
      <c r="N42" s="51">
        <f t="shared" si="10"/>
        <v>7</v>
      </c>
      <c r="O42" s="78">
        <f t="shared" si="11"/>
        <v>0</v>
      </c>
      <c r="P42" s="139">
        <f t="shared" si="8"/>
        <v>7</v>
      </c>
      <c r="Q42" s="53">
        <v>260000</v>
      </c>
      <c r="R42" s="54">
        <f t="shared" si="9"/>
        <v>1820000</v>
      </c>
      <c r="S42" s="86"/>
    </row>
    <row r="43" spans="1:19" s="31" customFormat="1" x14ac:dyDescent="0.3">
      <c r="A43" s="61">
        <v>40</v>
      </c>
      <c r="B43" s="116" t="s">
        <v>45</v>
      </c>
      <c r="C43" s="116"/>
      <c r="D43" s="117" t="s">
        <v>4</v>
      </c>
      <c r="E43" s="127" t="s">
        <v>9</v>
      </c>
      <c r="F43" s="32" t="s">
        <v>9</v>
      </c>
      <c r="G43" s="32" t="s">
        <v>9</v>
      </c>
      <c r="H43" s="36" t="s">
        <v>9</v>
      </c>
      <c r="I43" s="32"/>
      <c r="J43" s="32"/>
      <c r="K43" s="211"/>
      <c r="L43" s="211"/>
      <c r="M43" s="33"/>
      <c r="N43" s="51">
        <f t="shared" si="10"/>
        <v>4</v>
      </c>
      <c r="O43" s="78">
        <f t="shared" si="11"/>
        <v>0</v>
      </c>
      <c r="P43" s="139">
        <f t="shared" si="8"/>
        <v>4</v>
      </c>
      <c r="Q43" s="53">
        <v>370000</v>
      </c>
      <c r="R43" s="54">
        <f t="shared" si="9"/>
        <v>1480000</v>
      </c>
      <c r="S43" s="86"/>
    </row>
    <row r="44" spans="1:19" s="31" customFormat="1" x14ac:dyDescent="0.3">
      <c r="A44" s="61">
        <v>41</v>
      </c>
      <c r="B44" s="116" t="s">
        <v>236</v>
      </c>
      <c r="C44" s="116"/>
      <c r="D44" s="117" t="s">
        <v>5</v>
      </c>
      <c r="E44" s="127"/>
      <c r="F44" s="32"/>
      <c r="G44" s="32"/>
      <c r="H44" s="36"/>
      <c r="I44" s="32"/>
      <c r="J44" s="32"/>
      <c r="K44" s="211"/>
      <c r="L44" s="211"/>
      <c r="M44" s="33"/>
      <c r="N44" s="51">
        <f t="shared" si="10"/>
        <v>0</v>
      </c>
      <c r="O44" s="78">
        <f t="shared" si="11"/>
        <v>0</v>
      </c>
      <c r="P44" s="139">
        <f t="shared" si="8"/>
        <v>0</v>
      </c>
      <c r="Q44" s="53">
        <v>270000</v>
      </c>
      <c r="R44" s="54">
        <f t="shared" si="9"/>
        <v>0</v>
      </c>
      <c r="S44" s="86"/>
    </row>
    <row r="45" spans="1:19" s="31" customFormat="1" x14ac:dyDescent="0.3">
      <c r="A45" s="61">
        <v>42</v>
      </c>
      <c r="B45" s="116" t="s">
        <v>235</v>
      </c>
      <c r="C45" s="116"/>
      <c r="D45" s="117" t="s">
        <v>4</v>
      </c>
      <c r="E45" s="127" t="s">
        <v>9</v>
      </c>
      <c r="F45" s="32" t="s">
        <v>9</v>
      </c>
      <c r="G45" s="32" t="s">
        <v>9</v>
      </c>
      <c r="H45" s="36" t="s">
        <v>9</v>
      </c>
      <c r="I45" s="32" t="s">
        <v>9</v>
      </c>
      <c r="J45" s="32" t="s">
        <v>9</v>
      </c>
      <c r="K45" s="211"/>
      <c r="L45" s="211" t="s">
        <v>9</v>
      </c>
      <c r="M45" s="33" t="s">
        <v>9</v>
      </c>
      <c r="N45" s="51">
        <f t="shared" si="10"/>
        <v>8</v>
      </c>
      <c r="O45" s="78">
        <f t="shared" si="11"/>
        <v>0</v>
      </c>
      <c r="P45" s="139">
        <f t="shared" si="8"/>
        <v>8</v>
      </c>
      <c r="Q45" s="53">
        <v>360000</v>
      </c>
      <c r="R45" s="54">
        <f t="shared" si="9"/>
        <v>2880000</v>
      </c>
      <c r="S45" s="86"/>
    </row>
    <row r="46" spans="1:19" s="31" customFormat="1" x14ac:dyDescent="0.3">
      <c r="A46" s="61">
        <v>43</v>
      </c>
      <c r="B46" s="116" t="s">
        <v>237</v>
      </c>
      <c r="C46" s="116"/>
      <c r="D46" s="117" t="s">
        <v>5</v>
      </c>
      <c r="E46" s="127" t="s">
        <v>9</v>
      </c>
      <c r="F46" s="32" t="s">
        <v>9</v>
      </c>
      <c r="G46" s="32" t="s">
        <v>9</v>
      </c>
      <c r="H46" s="36" t="s">
        <v>9</v>
      </c>
      <c r="I46" s="32" t="s">
        <v>9</v>
      </c>
      <c r="J46" s="32" t="s">
        <v>9</v>
      </c>
      <c r="K46" s="211"/>
      <c r="L46" s="211" t="s">
        <v>9</v>
      </c>
      <c r="M46" s="33" t="s">
        <v>9</v>
      </c>
      <c r="N46" s="51">
        <f t="shared" si="10"/>
        <v>8</v>
      </c>
      <c r="O46" s="78">
        <f t="shared" si="11"/>
        <v>0</v>
      </c>
      <c r="P46" s="139">
        <f t="shared" si="8"/>
        <v>8</v>
      </c>
      <c r="Q46" s="53">
        <v>270000</v>
      </c>
      <c r="R46" s="54">
        <f t="shared" si="9"/>
        <v>2160000</v>
      </c>
      <c r="S46" s="86"/>
    </row>
    <row r="47" spans="1:19" s="31" customFormat="1" x14ac:dyDescent="0.3">
      <c r="A47" s="61">
        <v>44</v>
      </c>
      <c r="B47" s="116" t="s">
        <v>238</v>
      </c>
      <c r="C47" s="116"/>
      <c r="D47" s="117" t="s">
        <v>5</v>
      </c>
      <c r="E47" s="127"/>
      <c r="F47" s="32"/>
      <c r="G47" s="32"/>
      <c r="H47" s="32"/>
      <c r="I47" s="36"/>
      <c r="J47" s="32"/>
      <c r="K47" s="211"/>
      <c r="L47" s="211"/>
      <c r="M47" s="33"/>
      <c r="N47" s="51">
        <f t="shared" si="10"/>
        <v>0</v>
      </c>
      <c r="O47" s="78">
        <f t="shared" si="11"/>
        <v>0</v>
      </c>
      <c r="P47" s="139">
        <f t="shared" si="8"/>
        <v>0</v>
      </c>
      <c r="Q47" s="53">
        <v>270000</v>
      </c>
      <c r="R47" s="54">
        <f t="shared" si="9"/>
        <v>0</v>
      </c>
      <c r="S47" s="86"/>
    </row>
    <row r="48" spans="1:19" s="31" customFormat="1" x14ac:dyDescent="0.3">
      <c r="A48" s="61">
        <v>45</v>
      </c>
      <c r="B48" s="48" t="s">
        <v>239</v>
      </c>
      <c r="C48" s="48"/>
      <c r="D48" s="91" t="s">
        <v>5</v>
      </c>
      <c r="E48" s="41"/>
      <c r="F48" s="21"/>
      <c r="G48" s="21"/>
      <c r="H48" s="35"/>
      <c r="I48" s="21"/>
      <c r="J48" s="21"/>
      <c r="K48" s="210"/>
      <c r="L48" s="210"/>
      <c r="M48" s="25"/>
      <c r="N48" s="51">
        <f t="shared" si="10"/>
        <v>0</v>
      </c>
      <c r="O48" s="78">
        <f t="shared" si="11"/>
        <v>0</v>
      </c>
      <c r="P48" s="139">
        <f t="shared" si="8"/>
        <v>0</v>
      </c>
      <c r="Q48" s="53">
        <v>270000</v>
      </c>
      <c r="R48" s="54">
        <f t="shared" si="9"/>
        <v>0</v>
      </c>
      <c r="S48" s="86"/>
    </row>
    <row r="49" spans="1:19" s="31" customFormat="1" x14ac:dyDescent="0.3">
      <c r="A49" s="61">
        <v>46</v>
      </c>
      <c r="B49" s="116" t="s">
        <v>240</v>
      </c>
      <c r="C49" s="116"/>
      <c r="D49" s="117" t="s">
        <v>4</v>
      </c>
      <c r="E49" s="127" t="s">
        <v>9</v>
      </c>
      <c r="F49" s="32" t="s">
        <v>9</v>
      </c>
      <c r="G49" s="32" t="s">
        <v>9</v>
      </c>
      <c r="H49" s="36" t="s">
        <v>9</v>
      </c>
      <c r="I49" s="32" t="s">
        <v>9</v>
      </c>
      <c r="J49" s="32" t="s">
        <v>9</v>
      </c>
      <c r="K49" s="211" t="s">
        <v>9</v>
      </c>
      <c r="L49" s="211" t="s">
        <v>9</v>
      </c>
      <c r="M49" s="33" t="s">
        <v>9</v>
      </c>
      <c r="N49" s="51">
        <f t="shared" si="10"/>
        <v>9</v>
      </c>
      <c r="O49" s="78">
        <f t="shared" si="11"/>
        <v>0</v>
      </c>
      <c r="P49" s="139">
        <f t="shared" si="8"/>
        <v>9</v>
      </c>
      <c r="Q49" s="53">
        <v>360000</v>
      </c>
      <c r="R49" s="54">
        <f t="shared" si="9"/>
        <v>3240000</v>
      </c>
      <c r="S49" s="86"/>
    </row>
    <row r="50" spans="1:19" s="31" customFormat="1" x14ac:dyDescent="0.3">
      <c r="A50" s="61">
        <v>47</v>
      </c>
      <c r="B50" s="116" t="s">
        <v>241</v>
      </c>
      <c r="C50" s="116"/>
      <c r="D50" s="117" t="s">
        <v>4</v>
      </c>
      <c r="E50" s="127" t="s">
        <v>9</v>
      </c>
      <c r="F50" s="32" t="s">
        <v>9</v>
      </c>
      <c r="G50" s="32" t="s">
        <v>9</v>
      </c>
      <c r="H50" s="36" t="s">
        <v>9</v>
      </c>
      <c r="I50" s="32" t="s">
        <v>9</v>
      </c>
      <c r="J50" s="32" t="s">
        <v>9</v>
      </c>
      <c r="K50" s="211"/>
      <c r="L50" s="211" t="s">
        <v>9</v>
      </c>
      <c r="M50" s="33" t="s">
        <v>9</v>
      </c>
      <c r="N50" s="51">
        <f t="shared" si="10"/>
        <v>8</v>
      </c>
      <c r="O50" s="78">
        <f t="shared" si="11"/>
        <v>0</v>
      </c>
      <c r="P50" s="139">
        <f t="shared" si="8"/>
        <v>8</v>
      </c>
      <c r="Q50" s="53">
        <v>360000</v>
      </c>
      <c r="R50" s="54">
        <f t="shared" si="9"/>
        <v>2880000</v>
      </c>
      <c r="S50" s="86"/>
    </row>
    <row r="51" spans="1:19" s="31" customFormat="1" x14ac:dyDescent="0.3">
      <c r="A51" s="61">
        <v>48</v>
      </c>
      <c r="B51" s="116" t="s">
        <v>242</v>
      </c>
      <c r="C51" s="116"/>
      <c r="D51" s="117" t="s">
        <v>5</v>
      </c>
      <c r="E51" s="127" t="s">
        <v>9</v>
      </c>
      <c r="F51" s="32" t="s">
        <v>9</v>
      </c>
      <c r="G51" s="32" t="s">
        <v>9</v>
      </c>
      <c r="H51" s="36" t="s">
        <v>9</v>
      </c>
      <c r="I51" s="32" t="s">
        <v>9</v>
      </c>
      <c r="J51" s="32" t="s">
        <v>9</v>
      </c>
      <c r="K51" s="211"/>
      <c r="L51" s="211" t="s">
        <v>9</v>
      </c>
      <c r="M51" s="33" t="s">
        <v>9</v>
      </c>
      <c r="N51" s="51">
        <f t="shared" si="10"/>
        <v>8</v>
      </c>
      <c r="O51" s="78">
        <f t="shared" si="11"/>
        <v>0</v>
      </c>
      <c r="P51" s="139">
        <f t="shared" si="8"/>
        <v>8</v>
      </c>
      <c r="Q51" s="53">
        <v>270000</v>
      </c>
      <c r="R51" s="54">
        <f t="shared" si="9"/>
        <v>2160000</v>
      </c>
      <c r="S51" s="86"/>
    </row>
    <row r="52" spans="1:19" s="31" customFormat="1" x14ac:dyDescent="0.3">
      <c r="A52" s="61">
        <v>49</v>
      </c>
      <c r="B52" s="48" t="s">
        <v>243</v>
      </c>
      <c r="C52" s="48"/>
      <c r="D52" s="91" t="s">
        <v>5</v>
      </c>
      <c r="E52" s="41"/>
      <c r="F52" s="32"/>
      <c r="G52" s="32"/>
      <c r="H52" s="36"/>
      <c r="I52" s="32"/>
      <c r="J52" s="32"/>
      <c r="K52" s="211"/>
      <c r="L52" s="211"/>
      <c r="M52" s="33"/>
      <c r="N52" s="51">
        <f t="shared" si="10"/>
        <v>0</v>
      </c>
      <c r="O52" s="78">
        <f t="shared" si="11"/>
        <v>0</v>
      </c>
      <c r="P52" s="139">
        <f t="shared" si="8"/>
        <v>0</v>
      </c>
      <c r="Q52" s="53">
        <v>270000</v>
      </c>
      <c r="R52" s="54">
        <f t="shared" si="9"/>
        <v>0</v>
      </c>
      <c r="S52" s="86"/>
    </row>
    <row r="53" spans="1:19" s="31" customFormat="1" x14ac:dyDescent="0.3">
      <c r="A53" s="61">
        <v>50</v>
      </c>
      <c r="B53" s="116" t="s">
        <v>287</v>
      </c>
      <c r="C53" s="116"/>
      <c r="D53" s="117" t="s">
        <v>4</v>
      </c>
      <c r="E53" s="127" t="s">
        <v>9</v>
      </c>
      <c r="F53" s="32" t="s">
        <v>9</v>
      </c>
      <c r="G53" s="32" t="s">
        <v>9</v>
      </c>
      <c r="H53" s="36" t="s">
        <v>9</v>
      </c>
      <c r="I53" s="32" t="s">
        <v>9</v>
      </c>
      <c r="J53" s="32" t="s">
        <v>9</v>
      </c>
      <c r="K53" s="211"/>
      <c r="L53" s="211" t="s">
        <v>9</v>
      </c>
      <c r="M53" s="33" t="s">
        <v>9</v>
      </c>
      <c r="N53" s="51">
        <f t="shared" si="10"/>
        <v>8</v>
      </c>
      <c r="O53" s="78">
        <f t="shared" si="11"/>
        <v>0</v>
      </c>
      <c r="P53" s="139">
        <f t="shared" si="8"/>
        <v>8</v>
      </c>
      <c r="Q53" s="53">
        <v>360000</v>
      </c>
      <c r="R53" s="54">
        <f t="shared" si="9"/>
        <v>2880000</v>
      </c>
      <c r="S53" s="86"/>
    </row>
    <row r="54" spans="1:19" s="31" customFormat="1" x14ac:dyDescent="0.3">
      <c r="A54" s="82">
        <v>51</v>
      </c>
      <c r="B54" s="116" t="s">
        <v>289</v>
      </c>
      <c r="C54" s="116"/>
      <c r="D54" s="117" t="s">
        <v>4</v>
      </c>
      <c r="E54" s="127"/>
      <c r="F54" s="32"/>
      <c r="G54" s="32"/>
      <c r="H54" s="36"/>
      <c r="I54" s="32"/>
      <c r="J54" s="32"/>
      <c r="K54" s="211"/>
      <c r="L54" s="211"/>
      <c r="M54" s="33"/>
      <c r="N54" s="51">
        <f t="shared" si="10"/>
        <v>0</v>
      </c>
      <c r="O54" s="78">
        <f t="shared" si="11"/>
        <v>0</v>
      </c>
      <c r="P54" s="139">
        <f t="shared" si="8"/>
        <v>0</v>
      </c>
      <c r="Q54" s="53">
        <v>360000</v>
      </c>
      <c r="R54" s="54">
        <f t="shared" si="9"/>
        <v>0</v>
      </c>
      <c r="S54" s="86"/>
    </row>
    <row r="55" spans="1:19" s="31" customFormat="1" x14ac:dyDescent="0.3">
      <c r="A55" s="82">
        <v>52</v>
      </c>
      <c r="B55" s="116" t="s">
        <v>290</v>
      </c>
      <c r="C55" s="116"/>
      <c r="D55" s="117" t="s">
        <v>5</v>
      </c>
      <c r="E55" s="127"/>
      <c r="F55" s="32"/>
      <c r="G55" s="32"/>
      <c r="H55" s="36"/>
      <c r="I55" s="32"/>
      <c r="J55" s="32"/>
      <c r="K55" s="211"/>
      <c r="L55" s="211"/>
      <c r="M55" s="33"/>
      <c r="N55" s="51">
        <f t="shared" si="10"/>
        <v>0</v>
      </c>
      <c r="O55" s="78">
        <f t="shared" si="11"/>
        <v>0</v>
      </c>
      <c r="P55" s="139">
        <f t="shared" si="8"/>
        <v>0</v>
      </c>
      <c r="Q55" s="53">
        <v>270000</v>
      </c>
      <c r="R55" s="54">
        <f t="shared" si="9"/>
        <v>0</v>
      </c>
      <c r="S55" s="86"/>
    </row>
    <row r="56" spans="1:19" s="31" customFormat="1" x14ac:dyDescent="0.3">
      <c r="A56" s="82">
        <v>53</v>
      </c>
      <c r="B56" s="116" t="s">
        <v>288</v>
      </c>
      <c r="C56" s="116"/>
      <c r="D56" s="117" t="s">
        <v>5</v>
      </c>
      <c r="E56" s="127" t="s">
        <v>9</v>
      </c>
      <c r="F56" s="32" t="s">
        <v>9</v>
      </c>
      <c r="G56" s="32" t="s">
        <v>9</v>
      </c>
      <c r="H56" s="36" t="s">
        <v>9</v>
      </c>
      <c r="I56" s="32" t="s">
        <v>9</v>
      </c>
      <c r="J56" s="32" t="s">
        <v>9</v>
      </c>
      <c r="K56" s="211" t="s">
        <v>9</v>
      </c>
      <c r="L56" s="211"/>
      <c r="M56" s="33"/>
      <c r="N56" s="51">
        <f t="shared" si="10"/>
        <v>7</v>
      </c>
      <c r="O56" s="78">
        <f t="shared" si="11"/>
        <v>0</v>
      </c>
      <c r="P56" s="139">
        <f t="shared" si="8"/>
        <v>7</v>
      </c>
      <c r="Q56" s="53">
        <v>270000</v>
      </c>
      <c r="R56" s="54">
        <f t="shared" si="9"/>
        <v>1890000</v>
      </c>
      <c r="S56" s="86"/>
    </row>
    <row r="57" spans="1:19" s="31" customFormat="1" x14ac:dyDescent="0.3">
      <c r="A57" s="82">
        <v>54</v>
      </c>
      <c r="B57" s="116" t="s">
        <v>291</v>
      </c>
      <c r="C57" s="116"/>
      <c r="D57" s="117" t="s">
        <v>5</v>
      </c>
      <c r="E57" s="127" t="s">
        <v>9</v>
      </c>
      <c r="F57" s="32" t="s">
        <v>9</v>
      </c>
      <c r="G57" s="32" t="s">
        <v>9</v>
      </c>
      <c r="H57" s="36" t="s">
        <v>9</v>
      </c>
      <c r="I57" s="32" t="s">
        <v>9</v>
      </c>
      <c r="J57" s="32" t="s">
        <v>9</v>
      </c>
      <c r="K57" s="211" t="s">
        <v>9</v>
      </c>
      <c r="L57" s="211"/>
      <c r="M57" s="33"/>
      <c r="N57" s="51">
        <f t="shared" si="10"/>
        <v>7</v>
      </c>
      <c r="O57" s="78">
        <f t="shared" si="11"/>
        <v>0</v>
      </c>
      <c r="P57" s="139">
        <f t="shared" si="8"/>
        <v>7</v>
      </c>
      <c r="Q57" s="53">
        <v>270000</v>
      </c>
      <c r="R57" s="54">
        <f t="shared" si="9"/>
        <v>1890000</v>
      </c>
      <c r="S57" s="86"/>
    </row>
    <row r="58" spans="1:19" s="31" customFormat="1" x14ac:dyDescent="0.3">
      <c r="A58" s="82">
        <v>55</v>
      </c>
      <c r="B58" s="116" t="s">
        <v>295</v>
      </c>
      <c r="C58" s="116"/>
      <c r="D58" s="117" t="s">
        <v>5</v>
      </c>
      <c r="E58" s="127" t="s">
        <v>9</v>
      </c>
      <c r="F58" s="32" t="s">
        <v>9</v>
      </c>
      <c r="G58" s="32" t="s">
        <v>9</v>
      </c>
      <c r="H58" s="36" t="s">
        <v>9</v>
      </c>
      <c r="I58" s="32" t="s">
        <v>9</v>
      </c>
      <c r="J58" s="32" t="s">
        <v>9</v>
      </c>
      <c r="K58" s="211" t="s">
        <v>9</v>
      </c>
      <c r="L58" s="211" t="s">
        <v>9</v>
      </c>
      <c r="M58" s="33" t="s">
        <v>9</v>
      </c>
      <c r="N58" s="51">
        <f t="shared" si="10"/>
        <v>9</v>
      </c>
      <c r="O58" s="78">
        <f t="shared" si="11"/>
        <v>0</v>
      </c>
      <c r="P58" s="139">
        <f t="shared" si="8"/>
        <v>9</v>
      </c>
      <c r="Q58" s="53">
        <v>270000</v>
      </c>
      <c r="R58" s="54">
        <f t="shared" si="9"/>
        <v>2430000</v>
      </c>
      <c r="S58" s="86"/>
    </row>
    <row r="59" spans="1:19" s="31" customFormat="1" x14ac:dyDescent="0.3">
      <c r="A59" s="82">
        <v>56</v>
      </c>
      <c r="B59" s="116" t="s">
        <v>296</v>
      </c>
      <c r="C59" s="116"/>
      <c r="D59" s="117" t="s">
        <v>5</v>
      </c>
      <c r="E59" s="127" t="s">
        <v>9</v>
      </c>
      <c r="F59" s="32" t="s">
        <v>9</v>
      </c>
      <c r="G59" s="32" t="s">
        <v>9</v>
      </c>
      <c r="H59" s="36" t="s">
        <v>9</v>
      </c>
      <c r="I59" s="32" t="s">
        <v>9</v>
      </c>
      <c r="J59" s="32"/>
      <c r="K59" s="211"/>
      <c r="L59" s="211" t="s">
        <v>9</v>
      </c>
      <c r="M59" s="33" t="s">
        <v>9</v>
      </c>
      <c r="N59" s="51">
        <f t="shared" si="10"/>
        <v>7</v>
      </c>
      <c r="O59" s="78">
        <f t="shared" si="11"/>
        <v>0</v>
      </c>
      <c r="P59" s="139">
        <f t="shared" si="8"/>
        <v>7</v>
      </c>
      <c r="Q59" s="53">
        <v>270000</v>
      </c>
      <c r="R59" s="54">
        <f t="shared" si="9"/>
        <v>1890000</v>
      </c>
      <c r="S59" s="86"/>
    </row>
    <row r="60" spans="1:19" s="31" customFormat="1" x14ac:dyDescent="0.3">
      <c r="A60" s="82">
        <v>57</v>
      </c>
      <c r="B60" s="116" t="s">
        <v>297</v>
      </c>
      <c r="C60" s="116"/>
      <c r="D60" s="117" t="s">
        <v>4</v>
      </c>
      <c r="E60" s="127"/>
      <c r="F60" s="32"/>
      <c r="G60" s="32"/>
      <c r="H60" s="36"/>
      <c r="I60" s="32"/>
      <c r="J60" s="32"/>
      <c r="K60" s="211"/>
      <c r="L60" s="211"/>
      <c r="M60" s="33"/>
      <c r="N60" s="51">
        <f t="shared" si="10"/>
        <v>0</v>
      </c>
      <c r="O60" s="78">
        <f t="shared" si="11"/>
        <v>0</v>
      </c>
      <c r="P60" s="139">
        <f t="shared" si="8"/>
        <v>0</v>
      </c>
      <c r="Q60" s="53">
        <v>360000</v>
      </c>
      <c r="R60" s="54">
        <f t="shared" si="9"/>
        <v>0</v>
      </c>
      <c r="S60" s="86"/>
    </row>
    <row r="61" spans="1:19" s="31" customFormat="1" x14ac:dyDescent="0.3">
      <c r="A61" s="82">
        <v>58</v>
      </c>
      <c r="B61" s="116" t="s">
        <v>298</v>
      </c>
      <c r="C61" s="116"/>
      <c r="D61" s="117" t="s">
        <v>5</v>
      </c>
      <c r="E61" s="127" t="s">
        <v>9</v>
      </c>
      <c r="F61" s="32" t="s">
        <v>9</v>
      </c>
      <c r="G61" s="32"/>
      <c r="H61" s="36" t="s">
        <v>9</v>
      </c>
      <c r="I61" s="32"/>
      <c r="J61" s="32" t="s">
        <v>9</v>
      </c>
      <c r="K61" s="211" t="s">
        <v>9</v>
      </c>
      <c r="L61" s="211" t="s">
        <v>9</v>
      </c>
      <c r="M61" s="33"/>
      <c r="N61" s="51">
        <f t="shared" si="10"/>
        <v>6</v>
      </c>
      <c r="O61" s="78">
        <f t="shared" si="11"/>
        <v>0</v>
      </c>
      <c r="P61" s="139">
        <f t="shared" si="8"/>
        <v>6</v>
      </c>
      <c r="Q61" s="53">
        <v>270000</v>
      </c>
      <c r="R61" s="54">
        <f t="shared" si="9"/>
        <v>1620000</v>
      </c>
      <c r="S61" s="86"/>
    </row>
    <row r="62" spans="1:19" s="31" customFormat="1" x14ac:dyDescent="0.3">
      <c r="A62" s="82">
        <v>59</v>
      </c>
      <c r="B62" s="116" t="s">
        <v>356</v>
      </c>
      <c r="C62" s="116"/>
      <c r="D62" s="117" t="s">
        <v>5</v>
      </c>
      <c r="E62" s="127" t="s">
        <v>9</v>
      </c>
      <c r="F62" s="32" t="s">
        <v>9</v>
      </c>
      <c r="G62" s="32" t="s">
        <v>9</v>
      </c>
      <c r="H62" s="36"/>
      <c r="I62" s="32"/>
      <c r="J62" s="32"/>
      <c r="K62" s="211"/>
      <c r="L62" s="211"/>
      <c r="M62" s="33"/>
      <c r="N62" s="51">
        <f t="shared" si="10"/>
        <v>3</v>
      </c>
      <c r="O62" s="78">
        <f t="shared" si="11"/>
        <v>0</v>
      </c>
      <c r="P62" s="139">
        <f t="shared" si="8"/>
        <v>3</v>
      </c>
      <c r="Q62" s="53">
        <v>260000</v>
      </c>
      <c r="R62" s="54">
        <f t="shared" si="9"/>
        <v>780000</v>
      </c>
      <c r="S62" s="86"/>
    </row>
    <row r="63" spans="1:19" s="31" customFormat="1" x14ac:dyDescent="0.3">
      <c r="A63" s="82">
        <v>60</v>
      </c>
      <c r="B63" s="116" t="s">
        <v>361</v>
      </c>
      <c r="C63" s="116"/>
      <c r="D63" s="117" t="s">
        <v>4</v>
      </c>
      <c r="E63" s="127" t="s">
        <v>9</v>
      </c>
      <c r="F63" s="32" t="s">
        <v>9</v>
      </c>
      <c r="G63" s="32" t="s">
        <v>9</v>
      </c>
      <c r="H63" s="36" t="s">
        <v>9</v>
      </c>
      <c r="I63" s="32" t="s">
        <v>9</v>
      </c>
      <c r="J63" s="32"/>
      <c r="K63" s="211"/>
      <c r="L63" s="211" t="s">
        <v>9</v>
      </c>
      <c r="M63" s="33" t="s">
        <v>9</v>
      </c>
      <c r="N63" s="162">
        <f t="shared" si="10"/>
        <v>7</v>
      </c>
      <c r="O63" s="163">
        <f t="shared" si="11"/>
        <v>0</v>
      </c>
      <c r="P63" s="139">
        <f t="shared" si="8"/>
        <v>7</v>
      </c>
      <c r="Q63" s="53">
        <v>360000</v>
      </c>
      <c r="R63" s="54">
        <f t="shared" si="9"/>
        <v>2520000</v>
      </c>
      <c r="S63" s="86"/>
    </row>
    <row r="64" spans="1:19" s="31" customFormat="1" x14ac:dyDescent="0.3">
      <c r="A64" s="82">
        <v>61</v>
      </c>
      <c r="B64" s="116" t="s">
        <v>362</v>
      </c>
      <c r="C64" s="116"/>
      <c r="D64" s="117" t="s">
        <v>5</v>
      </c>
      <c r="E64" s="127" t="s">
        <v>9</v>
      </c>
      <c r="F64" s="32" t="s">
        <v>9</v>
      </c>
      <c r="G64" s="32" t="s">
        <v>9</v>
      </c>
      <c r="H64" s="36" t="s">
        <v>9</v>
      </c>
      <c r="I64" s="32" t="s">
        <v>9</v>
      </c>
      <c r="J64" s="32"/>
      <c r="K64" s="211"/>
      <c r="L64" s="211" t="s">
        <v>9</v>
      </c>
      <c r="M64" s="33" t="s">
        <v>9</v>
      </c>
      <c r="N64" s="162">
        <f t="shared" ref="N64:N72" si="13">COUNTIF(E64:M64,"X")</f>
        <v>7</v>
      </c>
      <c r="O64" s="163">
        <f t="shared" ref="O64:O72" si="14">COUNTIF(E64:M64,"X/2")/2</f>
        <v>0</v>
      </c>
      <c r="P64" s="139">
        <f t="shared" ref="P64:P72" si="15">SUM(N64:O64)</f>
        <v>7</v>
      </c>
      <c r="Q64" s="53">
        <v>260000</v>
      </c>
      <c r="R64" s="54">
        <f t="shared" ref="R64:R72" si="16">P64*Q64</f>
        <v>1820000</v>
      </c>
      <c r="S64" s="86"/>
    </row>
    <row r="65" spans="1:20" s="31" customFormat="1" x14ac:dyDescent="0.3">
      <c r="A65" s="82">
        <v>62</v>
      </c>
      <c r="B65" s="116" t="s">
        <v>363</v>
      </c>
      <c r="C65" s="116"/>
      <c r="D65" s="117" t="s">
        <v>5</v>
      </c>
      <c r="E65" s="127" t="s">
        <v>9</v>
      </c>
      <c r="F65" s="32" t="s">
        <v>9</v>
      </c>
      <c r="G65" s="32" t="s">
        <v>9</v>
      </c>
      <c r="H65" s="36" t="s">
        <v>9</v>
      </c>
      <c r="I65" s="32" t="s">
        <v>9</v>
      </c>
      <c r="J65" s="32" t="s">
        <v>9</v>
      </c>
      <c r="K65" s="211"/>
      <c r="L65" s="211" t="s">
        <v>9</v>
      </c>
      <c r="M65" s="33" t="s">
        <v>9</v>
      </c>
      <c r="N65" s="162">
        <f t="shared" si="13"/>
        <v>8</v>
      </c>
      <c r="O65" s="163">
        <f t="shared" si="14"/>
        <v>0</v>
      </c>
      <c r="P65" s="139">
        <f t="shared" si="15"/>
        <v>8</v>
      </c>
      <c r="Q65" s="53">
        <v>260000</v>
      </c>
      <c r="R65" s="54">
        <f t="shared" si="16"/>
        <v>2080000</v>
      </c>
      <c r="S65" s="86"/>
    </row>
    <row r="66" spans="1:20" s="31" customFormat="1" x14ac:dyDescent="0.3">
      <c r="A66" s="82">
        <v>63</v>
      </c>
      <c r="B66" s="116" t="s">
        <v>364</v>
      </c>
      <c r="C66" s="116"/>
      <c r="D66" s="117" t="s">
        <v>4</v>
      </c>
      <c r="E66" s="127"/>
      <c r="F66" s="32"/>
      <c r="G66" s="32"/>
      <c r="H66" s="36"/>
      <c r="I66" s="32" t="s">
        <v>9</v>
      </c>
      <c r="J66" s="32" t="s">
        <v>9</v>
      </c>
      <c r="K66" s="211"/>
      <c r="L66" s="211" t="s">
        <v>9</v>
      </c>
      <c r="M66" s="33" t="s">
        <v>9</v>
      </c>
      <c r="N66" s="162">
        <f t="shared" si="13"/>
        <v>4</v>
      </c>
      <c r="O66" s="163">
        <f t="shared" si="14"/>
        <v>0</v>
      </c>
      <c r="P66" s="139">
        <f t="shared" si="15"/>
        <v>4</v>
      </c>
      <c r="Q66" s="53">
        <v>360000</v>
      </c>
      <c r="R66" s="54">
        <f t="shared" si="16"/>
        <v>1440000</v>
      </c>
      <c r="S66" s="86"/>
    </row>
    <row r="67" spans="1:20" s="31" customFormat="1" x14ac:dyDescent="0.3">
      <c r="A67" s="82">
        <v>64</v>
      </c>
      <c r="B67" s="116" t="s">
        <v>365</v>
      </c>
      <c r="C67" s="116"/>
      <c r="D67" s="117" t="s">
        <v>5</v>
      </c>
      <c r="E67" s="127"/>
      <c r="F67" s="32"/>
      <c r="G67" s="32"/>
      <c r="H67" s="36"/>
      <c r="I67" s="32" t="s">
        <v>9</v>
      </c>
      <c r="J67" s="32" t="s">
        <v>9</v>
      </c>
      <c r="K67" s="211"/>
      <c r="L67" s="211"/>
      <c r="M67" s="33"/>
      <c r="N67" s="162">
        <f t="shared" si="13"/>
        <v>2</v>
      </c>
      <c r="O67" s="163">
        <f t="shared" si="14"/>
        <v>0</v>
      </c>
      <c r="P67" s="139">
        <f t="shared" si="15"/>
        <v>2</v>
      </c>
      <c r="Q67" s="53">
        <v>260000</v>
      </c>
      <c r="R67" s="54">
        <f t="shared" si="16"/>
        <v>520000</v>
      </c>
      <c r="S67" s="86"/>
    </row>
    <row r="68" spans="1:20" s="31" customFormat="1" x14ac:dyDescent="0.3">
      <c r="A68" s="82">
        <v>65</v>
      </c>
      <c r="B68" s="116" t="s">
        <v>366</v>
      </c>
      <c r="C68" s="116"/>
      <c r="D68" s="117" t="s">
        <v>4</v>
      </c>
      <c r="E68" s="127"/>
      <c r="F68" s="32"/>
      <c r="G68" s="32"/>
      <c r="H68" s="36"/>
      <c r="I68" s="32"/>
      <c r="J68" s="32"/>
      <c r="K68" s="211"/>
      <c r="L68" s="211" t="s">
        <v>9</v>
      </c>
      <c r="M68" s="33" t="s">
        <v>9</v>
      </c>
      <c r="N68" s="162">
        <f t="shared" si="13"/>
        <v>2</v>
      </c>
      <c r="O68" s="163">
        <f t="shared" si="14"/>
        <v>0</v>
      </c>
      <c r="P68" s="139">
        <f t="shared" si="15"/>
        <v>2</v>
      </c>
      <c r="Q68" s="53">
        <v>360000</v>
      </c>
      <c r="R68" s="54">
        <f t="shared" si="16"/>
        <v>720000</v>
      </c>
      <c r="S68" s="86"/>
    </row>
    <row r="69" spans="1:20" s="31" customFormat="1" x14ac:dyDescent="0.3">
      <c r="A69" s="82"/>
      <c r="B69" s="116"/>
      <c r="C69" s="116"/>
      <c r="D69" s="117"/>
      <c r="E69" s="127"/>
      <c r="F69" s="32"/>
      <c r="G69" s="32"/>
      <c r="H69" s="36"/>
      <c r="I69" s="32"/>
      <c r="J69" s="32"/>
      <c r="K69" s="211"/>
      <c r="L69" s="211"/>
      <c r="M69" s="33"/>
      <c r="N69" s="162">
        <f t="shared" si="13"/>
        <v>0</v>
      </c>
      <c r="O69" s="163">
        <f t="shared" si="14"/>
        <v>0</v>
      </c>
      <c r="P69" s="139">
        <f t="shared" si="15"/>
        <v>0</v>
      </c>
      <c r="Q69" s="53"/>
      <c r="R69" s="54">
        <f t="shared" si="16"/>
        <v>0</v>
      </c>
      <c r="S69" s="86"/>
    </row>
    <row r="70" spans="1:20" s="31" customFormat="1" x14ac:dyDescent="0.3">
      <c r="A70" s="82"/>
      <c r="B70" s="116"/>
      <c r="C70" s="116"/>
      <c r="D70" s="117"/>
      <c r="E70" s="127"/>
      <c r="F70" s="32"/>
      <c r="G70" s="32"/>
      <c r="H70" s="36"/>
      <c r="I70" s="32"/>
      <c r="J70" s="32"/>
      <c r="K70" s="211"/>
      <c r="L70" s="211"/>
      <c r="M70" s="33"/>
      <c r="N70" s="162">
        <f t="shared" si="13"/>
        <v>0</v>
      </c>
      <c r="O70" s="163">
        <f t="shared" si="14"/>
        <v>0</v>
      </c>
      <c r="P70" s="139">
        <f t="shared" si="15"/>
        <v>0</v>
      </c>
      <c r="Q70" s="53"/>
      <c r="R70" s="54">
        <f t="shared" si="16"/>
        <v>0</v>
      </c>
      <c r="S70" s="86"/>
    </row>
    <row r="71" spans="1:20" s="31" customFormat="1" x14ac:dyDescent="0.3">
      <c r="A71" s="82"/>
      <c r="B71" s="116"/>
      <c r="C71" s="116"/>
      <c r="D71" s="117"/>
      <c r="E71" s="127"/>
      <c r="F71" s="32"/>
      <c r="G71" s="32"/>
      <c r="H71" s="36"/>
      <c r="I71" s="32"/>
      <c r="J71" s="32"/>
      <c r="K71" s="211"/>
      <c r="L71" s="211"/>
      <c r="M71" s="33"/>
      <c r="N71" s="162">
        <f t="shared" si="13"/>
        <v>0</v>
      </c>
      <c r="O71" s="163">
        <f t="shared" si="14"/>
        <v>0</v>
      </c>
      <c r="P71" s="139">
        <f t="shared" si="15"/>
        <v>0</v>
      </c>
      <c r="Q71" s="53"/>
      <c r="R71" s="54">
        <f t="shared" si="16"/>
        <v>0</v>
      </c>
      <c r="S71" s="86"/>
    </row>
    <row r="72" spans="1:20" s="31" customFormat="1" x14ac:dyDescent="0.3">
      <c r="A72" s="82"/>
      <c r="B72" s="116"/>
      <c r="C72" s="116"/>
      <c r="D72" s="117"/>
      <c r="E72" s="127"/>
      <c r="F72" s="32"/>
      <c r="G72" s="32"/>
      <c r="H72" s="36"/>
      <c r="I72" s="32"/>
      <c r="J72" s="32"/>
      <c r="K72" s="211"/>
      <c r="L72" s="211"/>
      <c r="M72" s="33"/>
      <c r="N72" s="162">
        <f t="shared" si="13"/>
        <v>0</v>
      </c>
      <c r="O72" s="163">
        <f t="shared" si="14"/>
        <v>0</v>
      </c>
      <c r="P72" s="139">
        <f t="shared" si="15"/>
        <v>0</v>
      </c>
      <c r="Q72" s="53"/>
      <c r="R72" s="54">
        <f t="shared" si="16"/>
        <v>0</v>
      </c>
      <c r="S72" s="86"/>
    </row>
    <row r="73" spans="1:20" s="31" customFormat="1" x14ac:dyDescent="0.3">
      <c r="A73" s="82"/>
      <c r="B73" s="116"/>
      <c r="C73" s="116"/>
      <c r="D73" s="117"/>
      <c r="E73" s="127"/>
      <c r="F73" s="32"/>
      <c r="G73" s="32"/>
      <c r="H73" s="36"/>
      <c r="I73" s="32"/>
      <c r="J73" s="32"/>
      <c r="K73" s="211"/>
      <c r="L73" s="211"/>
      <c r="M73" s="33"/>
      <c r="N73" s="162"/>
      <c r="O73" s="163"/>
      <c r="P73" s="139"/>
      <c r="Q73" s="53"/>
      <c r="R73" s="54"/>
      <c r="S73" s="86"/>
    </row>
    <row r="74" spans="1:20" s="31" customFormat="1" x14ac:dyDescent="0.3">
      <c r="A74" s="82"/>
      <c r="B74" s="116"/>
      <c r="C74" s="116"/>
      <c r="D74" s="117"/>
      <c r="E74" s="127"/>
      <c r="F74" s="32"/>
      <c r="G74" s="32"/>
      <c r="H74" s="36"/>
      <c r="I74" s="32"/>
      <c r="J74" s="32"/>
      <c r="K74" s="211"/>
      <c r="L74" s="211"/>
      <c r="M74" s="33"/>
      <c r="N74" s="162"/>
      <c r="O74" s="163"/>
      <c r="P74" s="139"/>
      <c r="Q74" s="53"/>
      <c r="R74" s="54"/>
      <c r="S74" s="86"/>
    </row>
    <row r="75" spans="1:20" s="31" customFormat="1" x14ac:dyDescent="0.3">
      <c r="A75" s="82"/>
      <c r="B75" s="116"/>
      <c r="C75" s="116"/>
      <c r="D75" s="117"/>
      <c r="E75" s="127"/>
      <c r="F75" s="32"/>
      <c r="G75" s="32"/>
      <c r="H75" s="36"/>
      <c r="I75" s="32"/>
      <c r="J75" s="32"/>
      <c r="K75" s="211"/>
      <c r="L75" s="211"/>
      <c r="M75" s="33"/>
      <c r="N75" s="162"/>
      <c r="O75" s="163"/>
      <c r="P75" s="139"/>
      <c r="Q75" s="53"/>
      <c r="R75" s="54"/>
      <c r="S75" s="86"/>
    </row>
    <row r="76" spans="1:20" s="31" customFormat="1" x14ac:dyDescent="0.3">
      <c r="A76" s="82"/>
      <c r="B76" s="116"/>
      <c r="C76" s="116"/>
      <c r="D76" s="117"/>
      <c r="E76" s="127"/>
      <c r="F76" s="32"/>
      <c r="G76" s="32"/>
      <c r="H76" s="36"/>
      <c r="I76" s="32"/>
      <c r="J76" s="32"/>
      <c r="K76" s="211"/>
      <c r="L76" s="211"/>
      <c r="M76" s="33"/>
      <c r="N76" s="162"/>
      <c r="O76" s="163"/>
      <c r="P76" s="139"/>
      <c r="Q76" s="53"/>
      <c r="R76" s="54"/>
      <c r="S76" s="86"/>
    </row>
    <row r="77" spans="1:20" s="31" customFormat="1" ht="16.2" thickBot="1" x14ac:dyDescent="0.35">
      <c r="A77" s="118"/>
      <c r="B77" s="119"/>
      <c r="C77" s="119"/>
      <c r="D77" s="120"/>
      <c r="E77" s="128"/>
      <c r="F77" s="27"/>
      <c r="G77" s="27"/>
      <c r="H77" s="37"/>
      <c r="I77" s="27"/>
      <c r="J77" s="27"/>
      <c r="K77" s="212"/>
      <c r="L77" s="212"/>
      <c r="M77" s="26"/>
      <c r="N77" s="156"/>
      <c r="O77" s="174"/>
      <c r="P77" s="80"/>
      <c r="Q77" s="121"/>
      <c r="R77" s="121">
        <f>SUBTOTAL(109,R4:R72)</f>
        <v>116510000</v>
      </c>
      <c r="S77" s="175">
        <f>SUBTOTAL(109,S4:S52)</f>
        <v>10700000</v>
      </c>
    </row>
    <row r="78" spans="1:20" s="31" customFormat="1" ht="16.2" thickBot="1" x14ac:dyDescent="0.35">
      <c r="A78" s="83"/>
      <c r="B78" s="84"/>
      <c r="C78" s="89"/>
      <c r="D78" s="85"/>
      <c r="E78" s="81">
        <f>SUBTOTAL(103,E4:E77)</f>
        <v>45</v>
      </c>
      <c r="F78" s="43">
        <f t="shared" ref="F78:N78" si="17">SUBTOTAL(103,F4:F77)</f>
        <v>44</v>
      </c>
      <c r="G78" s="40">
        <f t="shared" si="17"/>
        <v>44</v>
      </c>
      <c r="H78" s="43">
        <f t="shared" si="17"/>
        <v>42</v>
      </c>
      <c r="I78" s="40">
        <f t="shared" si="17"/>
        <v>41</v>
      </c>
      <c r="J78" s="40">
        <f t="shared" si="17"/>
        <v>41</v>
      </c>
      <c r="K78" s="155"/>
      <c r="L78" s="155"/>
      <c r="M78" s="63">
        <f>SUBTOTAL(103,M4:M77)</f>
        <v>35</v>
      </c>
      <c r="N78" s="40">
        <f t="shared" si="17"/>
        <v>69</v>
      </c>
      <c r="O78" s="155">
        <f>SUBTOTAL(103,O4:O29)</f>
        <v>26</v>
      </c>
      <c r="P78" s="81">
        <f>SUBTOTAL(103,P4:P29)</f>
        <v>26</v>
      </c>
      <c r="Q78" s="40">
        <f>SUBTOTAL(103,Q4:Q77)</f>
        <v>65</v>
      </c>
      <c r="R78" s="63">
        <f>SUBTOTAL(103,R4:R62)</f>
        <v>59</v>
      </c>
      <c r="S78" s="165">
        <f>R77-S77</f>
        <v>105810000</v>
      </c>
      <c r="T78" s="208"/>
    </row>
    <row r="80" spans="1:20" x14ac:dyDescent="0.3">
      <c r="R80" s="76"/>
      <c r="S80" s="76"/>
    </row>
    <row r="81" spans="18:18" x14ac:dyDescent="0.3">
      <c r="R81" s="76"/>
    </row>
  </sheetData>
  <mergeCells count="10">
    <mergeCell ref="P2:P3"/>
    <mergeCell ref="Q2:Q3"/>
    <mergeCell ref="R2:R3"/>
    <mergeCell ref="S2:S3"/>
    <mergeCell ref="A2:A3"/>
    <mergeCell ref="B2:B3"/>
    <mergeCell ref="C2:C3"/>
    <mergeCell ref="D2:D3"/>
    <mergeCell ref="N2:N3"/>
    <mergeCell ref="O2:O3"/>
  </mergeCells>
  <conditionalFormatting sqref="E78:M78 E79:R79">
    <cfRule type="expression" dxfId="12" priority="1">
      <formula>IF(E$3="cn",1,0)</formula>
    </cfRule>
  </conditionalFormatting>
  <pageMargins left="0.57999999999999996" right="0.17" top="0.22" bottom="0.18" header="0.17" footer="0.17"/>
  <pageSetup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0"/>
  <sheetViews>
    <sheetView topLeftCell="A64" workbookViewId="0"/>
  </sheetViews>
  <sheetFormatPr defaultRowHeight="15.6" x14ac:dyDescent="0.3"/>
  <cols>
    <col min="1" max="1" width="3.88671875" style="62" customWidth="1"/>
    <col min="2" max="2" width="19.33203125" style="1" customWidth="1"/>
    <col min="3" max="3" width="27.21875" style="1" customWidth="1"/>
    <col min="4" max="4" width="7.77734375" style="3" customWidth="1"/>
    <col min="5" max="7" width="4.5546875" style="129" customWidth="1"/>
    <col min="8" max="13" width="4.5546875" style="176" customWidth="1"/>
    <col min="14" max="14" width="4.88671875" style="176" customWidth="1"/>
    <col min="15" max="15" width="5.33203125" style="176" hidden="1" customWidth="1"/>
    <col min="16" max="16" width="6.6640625" style="176" hidden="1" customWidth="1"/>
    <col min="17" max="17" width="6.21875" style="176" customWidth="1"/>
    <col min="18" max="18" width="10.88671875" style="1" customWidth="1"/>
    <col min="19" max="19" width="14" style="1" customWidth="1"/>
    <col min="20" max="20" width="13.5546875" style="1" customWidth="1"/>
    <col min="21" max="21" width="22.21875" style="1" bestFit="1" customWidth="1"/>
    <col min="22" max="16384" width="8.88671875" style="1"/>
  </cols>
  <sheetData>
    <row r="1" spans="1:21" ht="23.4" customHeight="1" thickBot="1" x14ac:dyDescent="0.35">
      <c r="A1" s="154" t="s">
        <v>370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73"/>
      <c r="R1" s="173"/>
      <c r="S1" s="173"/>
      <c r="T1" s="173"/>
    </row>
    <row r="2" spans="1:21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11</v>
      </c>
      <c r="F2" s="23">
        <f t="shared" ref="F2:L2" si="0">E2+1</f>
        <v>12</v>
      </c>
      <c r="G2" s="23">
        <f t="shared" si="0"/>
        <v>13</v>
      </c>
      <c r="H2" s="23">
        <f t="shared" si="0"/>
        <v>14</v>
      </c>
      <c r="I2" s="23">
        <f t="shared" si="0"/>
        <v>15</v>
      </c>
      <c r="J2" s="23">
        <f t="shared" si="0"/>
        <v>16</v>
      </c>
      <c r="K2" s="23">
        <f t="shared" si="0"/>
        <v>17</v>
      </c>
      <c r="L2" s="23">
        <f t="shared" si="0"/>
        <v>18</v>
      </c>
      <c r="M2" s="214">
        <v>19</v>
      </c>
      <c r="N2" s="24">
        <v>20</v>
      </c>
      <c r="O2" s="420" t="s">
        <v>6</v>
      </c>
      <c r="P2" s="422" t="s">
        <v>7</v>
      </c>
      <c r="Q2" s="408" t="s">
        <v>357</v>
      </c>
      <c r="R2" s="410" t="s">
        <v>30</v>
      </c>
      <c r="S2" s="410" t="s">
        <v>33</v>
      </c>
      <c r="T2" s="412" t="s">
        <v>127</v>
      </c>
    </row>
    <row r="3" spans="1:21" s="3" customFormat="1" ht="16.2" thickBot="1" x14ac:dyDescent="0.35">
      <c r="A3" s="415"/>
      <c r="B3" s="417"/>
      <c r="C3" s="417"/>
      <c r="D3" s="425"/>
      <c r="E3" s="125" t="s">
        <v>97</v>
      </c>
      <c r="F3" s="126" t="s">
        <v>96</v>
      </c>
      <c r="G3" s="126" t="s">
        <v>98</v>
      </c>
      <c r="H3" s="213" t="s">
        <v>99</v>
      </c>
      <c r="I3" s="213" t="s">
        <v>93</v>
      </c>
      <c r="J3" s="213" t="s">
        <v>94</v>
      </c>
      <c r="K3" s="213" t="s">
        <v>93</v>
      </c>
      <c r="L3" s="207" t="s">
        <v>95</v>
      </c>
      <c r="M3" s="213" t="s">
        <v>97</v>
      </c>
      <c r="N3" s="207" t="s">
        <v>96</v>
      </c>
      <c r="O3" s="421"/>
      <c r="P3" s="423"/>
      <c r="Q3" s="409"/>
      <c r="R3" s="411"/>
      <c r="S3" s="411"/>
      <c r="T3" s="413"/>
    </row>
    <row r="4" spans="1:21" s="3" customFormat="1" x14ac:dyDescent="0.3">
      <c r="A4" s="130">
        <v>1</v>
      </c>
      <c r="B4" s="131" t="s">
        <v>2</v>
      </c>
      <c r="C4" s="132">
        <f>SUBTOTAL(103,C5:C23)</f>
        <v>15</v>
      </c>
      <c r="D4" s="133" t="s">
        <v>128</v>
      </c>
      <c r="E4" s="134" t="s">
        <v>9</v>
      </c>
      <c r="F4" s="135" t="s">
        <v>9</v>
      </c>
      <c r="G4" s="135" t="s">
        <v>9</v>
      </c>
      <c r="H4" s="136" t="s">
        <v>9</v>
      </c>
      <c r="I4" s="135" t="s">
        <v>9</v>
      </c>
      <c r="J4" s="135" t="s">
        <v>9</v>
      </c>
      <c r="K4" s="209" t="s">
        <v>9</v>
      </c>
      <c r="L4" s="209" t="s">
        <v>9</v>
      </c>
      <c r="M4" s="209" t="s">
        <v>9</v>
      </c>
      <c r="N4" s="137" t="s">
        <v>9</v>
      </c>
      <c r="O4" s="122">
        <f>COUNTIF(E4:N4,"X")</f>
        <v>10</v>
      </c>
      <c r="P4" s="123">
        <f>COUNTIF(E4:I4,"X/2")/2</f>
        <v>0</v>
      </c>
      <c r="Q4" s="87">
        <f t="shared" ref="Q4:Q67" si="1">SUM(O4:P4)</f>
        <v>10</v>
      </c>
      <c r="R4" s="124">
        <v>550000</v>
      </c>
      <c r="S4" s="88">
        <f t="shared" ref="S4:S67" si="2">Q4*R4</f>
        <v>5500000</v>
      </c>
      <c r="T4" s="164"/>
    </row>
    <row r="5" spans="1:21" s="31" customFormat="1" x14ac:dyDescent="0.3">
      <c r="A5" s="61">
        <v>2</v>
      </c>
      <c r="B5" s="28" t="s">
        <v>36</v>
      </c>
      <c r="C5" s="48" t="s">
        <v>60</v>
      </c>
      <c r="D5" s="90" t="s">
        <v>4</v>
      </c>
      <c r="E5" s="41" t="s">
        <v>9</v>
      </c>
      <c r="F5" s="21" t="s">
        <v>9</v>
      </c>
      <c r="G5" s="21" t="s">
        <v>9</v>
      </c>
      <c r="H5" s="35" t="s">
        <v>9</v>
      </c>
      <c r="I5" s="21"/>
      <c r="J5" s="21" t="s">
        <v>9</v>
      </c>
      <c r="K5" s="210" t="s">
        <v>9</v>
      </c>
      <c r="L5" s="210" t="s">
        <v>9</v>
      </c>
      <c r="M5" s="210" t="s">
        <v>9</v>
      </c>
      <c r="N5" s="25" t="s">
        <v>9</v>
      </c>
      <c r="O5" s="51">
        <f>COUNTIF(E5:N5,"X")</f>
        <v>9</v>
      </c>
      <c r="P5" s="78">
        <f>COUNTIF(E5:N5,"X/2")/2</f>
        <v>0</v>
      </c>
      <c r="Q5" s="79">
        <f t="shared" si="1"/>
        <v>9</v>
      </c>
      <c r="R5" s="52">
        <v>380000</v>
      </c>
      <c r="S5" s="77">
        <f t="shared" si="2"/>
        <v>3420000</v>
      </c>
      <c r="T5" s="50"/>
    </row>
    <row r="6" spans="1:21" s="31" customFormat="1" x14ac:dyDescent="0.3">
      <c r="A6" s="61">
        <f>A5+1</f>
        <v>3</v>
      </c>
      <c r="B6" s="28" t="s">
        <v>44</v>
      </c>
      <c r="C6" s="48"/>
      <c r="D6" s="90" t="s">
        <v>4</v>
      </c>
      <c r="E6" s="41"/>
      <c r="F6" s="21"/>
      <c r="G6" s="21"/>
      <c r="H6" s="35"/>
      <c r="I6" s="21"/>
      <c r="J6" s="21"/>
      <c r="K6" s="210"/>
      <c r="L6" s="210"/>
      <c r="M6" s="210"/>
      <c r="N6" s="25"/>
      <c r="O6" s="51">
        <f t="shared" ref="O6:O69" si="3">COUNTIF(E6:N6,"X")</f>
        <v>0</v>
      </c>
      <c r="P6" s="78">
        <f t="shared" ref="P6:P69" si="4">COUNTIF(E6:N6,"X/2")/2</f>
        <v>0</v>
      </c>
      <c r="Q6" s="79">
        <f t="shared" si="1"/>
        <v>0</v>
      </c>
      <c r="R6" s="52">
        <v>360000</v>
      </c>
      <c r="S6" s="77">
        <f t="shared" si="2"/>
        <v>0</v>
      </c>
      <c r="T6" s="50"/>
      <c r="U6" s="31" t="s">
        <v>163</v>
      </c>
    </row>
    <row r="7" spans="1:21" s="31" customFormat="1" x14ac:dyDescent="0.3">
      <c r="A7" s="61">
        <f t="shared" ref="A7:A15" si="5">A6+1</f>
        <v>4</v>
      </c>
      <c r="B7" s="28" t="s">
        <v>35</v>
      </c>
      <c r="C7" s="48" t="s">
        <v>80</v>
      </c>
      <c r="D7" s="90" t="s">
        <v>4</v>
      </c>
      <c r="E7" s="41" t="s">
        <v>9</v>
      </c>
      <c r="F7" s="21" t="s">
        <v>9</v>
      </c>
      <c r="G7" s="21" t="s">
        <v>9</v>
      </c>
      <c r="H7" s="35" t="s">
        <v>9</v>
      </c>
      <c r="I7" s="21"/>
      <c r="J7" s="21" t="s">
        <v>9</v>
      </c>
      <c r="K7" s="210" t="s">
        <v>9</v>
      </c>
      <c r="L7" s="210" t="s">
        <v>9</v>
      </c>
      <c r="M7" s="210" t="s">
        <v>9</v>
      </c>
      <c r="N7" s="25" t="s">
        <v>9</v>
      </c>
      <c r="O7" s="51">
        <f t="shared" si="3"/>
        <v>9</v>
      </c>
      <c r="P7" s="78">
        <f t="shared" si="4"/>
        <v>0</v>
      </c>
      <c r="Q7" s="79">
        <f t="shared" si="1"/>
        <v>9</v>
      </c>
      <c r="R7" s="52">
        <v>370000</v>
      </c>
      <c r="S7" s="77">
        <f t="shared" si="2"/>
        <v>3330000</v>
      </c>
      <c r="T7" s="50"/>
    </row>
    <row r="8" spans="1:21" s="31" customFormat="1" x14ac:dyDescent="0.3">
      <c r="A8" s="61">
        <f t="shared" si="5"/>
        <v>5</v>
      </c>
      <c r="B8" s="28" t="s">
        <v>37</v>
      </c>
      <c r="C8" s="48" t="s">
        <v>60</v>
      </c>
      <c r="D8" s="90" t="s">
        <v>4</v>
      </c>
      <c r="E8" s="41" t="s">
        <v>9</v>
      </c>
      <c r="F8" s="21" t="s">
        <v>9</v>
      </c>
      <c r="G8" s="21" t="s">
        <v>9</v>
      </c>
      <c r="H8" s="35" t="s">
        <v>9</v>
      </c>
      <c r="I8" s="21"/>
      <c r="J8" s="21" t="s">
        <v>9</v>
      </c>
      <c r="K8" s="210"/>
      <c r="L8" s="210" t="s">
        <v>9</v>
      </c>
      <c r="M8" s="210" t="s">
        <v>9</v>
      </c>
      <c r="N8" s="25" t="s">
        <v>9</v>
      </c>
      <c r="O8" s="51">
        <f t="shared" si="3"/>
        <v>8</v>
      </c>
      <c r="P8" s="78">
        <f t="shared" si="4"/>
        <v>0</v>
      </c>
      <c r="Q8" s="79">
        <f t="shared" si="1"/>
        <v>8</v>
      </c>
      <c r="R8" s="52">
        <v>370000</v>
      </c>
      <c r="S8" s="77">
        <f t="shared" si="2"/>
        <v>2960000</v>
      </c>
      <c r="T8" s="164">
        <v>300000</v>
      </c>
    </row>
    <row r="9" spans="1:21" s="31" customFormat="1" x14ac:dyDescent="0.3">
      <c r="A9" s="61">
        <f t="shared" si="5"/>
        <v>6</v>
      </c>
      <c r="B9" s="28" t="s">
        <v>38</v>
      </c>
      <c r="C9" s="48" t="s">
        <v>80</v>
      </c>
      <c r="D9" s="90" t="s">
        <v>17</v>
      </c>
      <c r="E9" s="41" t="s">
        <v>9</v>
      </c>
      <c r="F9" s="21"/>
      <c r="G9" s="21" t="s">
        <v>9</v>
      </c>
      <c r="H9" s="35"/>
      <c r="I9" s="21" t="s">
        <v>9</v>
      </c>
      <c r="J9" s="21" t="s">
        <v>9</v>
      </c>
      <c r="K9" s="210" t="s">
        <v>9</v>
      </c>
      <c r="L9" s="210"/>
      <c r="M9" s="210"/>
      <c r="N9" s="25"/>
      <c r="O9" s="51">
        <f t="shared" si="3"/>
        <v>5</v>
      </c>
      <c r="P9" s="78">
        <f t="shared" si="4"/>
        <v>0</v>
      </c>
      <c r="Q9" s="79">
        <f t="shared" si="1"/>
        <v>5</v>
      </c>
      <c r="R9" s="52">
        <v>350000</v>
      </c>
      <c r="S9" s="77">
        <f t="shared" si="2"/>
        <v>1750000</v>
      </c>
      <c r="T9" s="50"/>
    </row>
    <row r="10" spans="1:21" s="31" customFormat="1" x14ac:dyDescent="0.3">
      <c r="A10" s="61">
        <f t="shared" si="5"/>
        <v>7</v>
      </c>
      <c r="B10" s="28" t="s">
        <v>145</v>
      </c>
      <c r="C10" s="48" t="s">
        <v>60</v>
      </c>
      <c r="D10" s="90" t="s">
        <v>5</v>
      </c>
      <c r="E10" s="41" t="s">
        <v>9</v>
      </c>
      <c r="F10" s="21" t="s">
        <v>9</v>
      </c>
      <c r="G10" s="21" t="s">
        <v>9</v>
      </c>
      <c r="H10" s="35" t="s">
        <v>9</v>
      </c>
      <c r="I10" s="21"/>
      <c r="J10" s="21" t="s">
        <v>9</v>
      </c>
      <c r="K10" s="210" t="s">
        <v>9</v>
      </c>
      <c r="L10" s="210" t="s">
        <v>9</v>
      </c>
      <c r="M10" s="210" t="s">
        <v>9</v>
      </c>
      <c r="N10" s="25" t="s">
        <v>9</v>
      </c>
      <c r="O10" s="51">
        <f t="shared" si="3"/>
        <v>9</v>
      </c>
      <c r="P10" s="78">
        <f t="shared" si="4"/>
        <v>0</v>
      </c>
      <c r="Q10" s="79">
        <f t="shared" si="1"/>
        <v>9</v>
      </c>
      <c r="R10" s="52">
        <v>320000</v>
      </c>
      <c r="S10" s="77">
        <f t="shared" si="2"/>
        <v>2880000</v>
      </c>
      <c r="T10" s="50"/>
    </row>
    <row r="11" spans="1:21" s="31" customFormat="1" x14ac:dyDescent="0.3">
      <c r="A11" s="61">
        <f t="shared" si="5"/>
        <v>8</v>
      </c>
      <c r="B11" s="28" t="s">
        <v>34</v>
      </c>
      <c r="C11" s="48" t="s">
        <v>80</v>
      </c>
      <c r="D11" s="90" t="s">
        <v>5</v>
      </c>
      <c r="E11" s="41" t="s">
        <v>9</v>
      </c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10" t="s">
        <v>9</v>
      </c>
      <c r="N11" s="25" t="s">
        <v>9</v>
      </c>
      <c r="O11" s="51">
        <f t="shared" si="3"/>
        <v>10</v>
      </c>
      <c r="P11" s="78">
        <f t="shared" si="4"/>
        <v>0</v>
      </c>
      <c r="Q11" s="79">
        <f t="shared" si="1"/>
        <v>10</v>
      </c>
      <c r="R11" s="52">
        <v>300000</v>
      </c>
      <c r="S11" s="77">
        <f t="shared" si="2"/>
        <v>3000000</v>
      </c>
      <c r="T11" s="215">
        <v>-150000</v>
      </c>
    </row>
    <row r="12" spans="1:21" s="31" customFormat="1" x14ac:dyDescent="0.3">
      <c r="A12" s="61">
        <f t="shared" si="5"/>
        <v>9</v>
      </c>
      <c r="B12" s="28" t="s">
        <v>46</v>
      </c>
      <c r="C12" s="48" t="s">
        <v>60</v>
      </c>
      <c r="D12" s="90" t="s">
        <v>5</v>
      </c>
      <c r="E12" s="41" t="s">
        <v>9</v>
      </c>
      <c r="F12" s="21" t="s">
        <v>9</v>
      </c>
      <c r="G12" s="21" t="s">
        <v>9</v>
      </c>
      <c r="H12" s="35" t="s">
        <v>9</v>
      </c>
      <c r="I12" s="21" t="s">
        <v>9</v>
      </c>
      <c r="J12" s="21" t="s">
        <v>9</v>
      </c>
      <c r="K12" s="210" t="s">
        <v>9</v>
      </c>
      <c r="L12" s="210" t="s">
        <v>9</v>
      </c>
      <c r="M12" s="210" t="s">
        <v>9</v>
      </c>
      <c r="N12" s="25" t="s">
        <v>9</v>
      </c>
      <c r="O12" s="51">
        <f t="shared" si="3"/>
        <v>10</v>
      </c>
      <c r="P12" s="78">
        <f t="shared" si="4"/>
        <v>0</v>
      </c>
      <c r="Q12" s="79">
        <f t="shared" si="1"/>
        <v>10</v>
      </c>
      <c r="R12" s="52">
        <v>360000</v>
      </c>
      <c r="S12" s="77">
        <f t="shared" si="2"/>
        <v>3600000</v>
      </c>
      <c r="T12" s="50"/>
    </row>
    <row r="13" spans="1:21" s="31" customFormat="1" x14ac:dyDescent="0.3">
      <c r="A13" s="61">
        <f t="shared" si="5"/>
        <v>10</v>
      </c>
      <c r="B13" s="28" t="s">
        <v>42</v>
      </c>
      <c r="C13" s="48" t="s">
        <v>80</v>
      </c>
      <c r="D13" s="90" t="s">
        <v>4</v>
      </c>
      <c r="E13" s="41" t="s">
        <v>9</v>
      </c>
      <c r="F13" s="21" t="s">
        <v>9</v>
      </c>
      <c r="G13" s="21" t="s">
        <v>9</v>
      </c>
      <c r="H13" s="35" t="s">
        <v>9</v>
      </c>
      <c r="I13" s="21"/>
      <c r="J13" s="21" t="s">
        <v>9</v>
      </c>
      <c r="K13" s="210" t="s">
        <v>9</v>
      </c>
      <c r="L13" s="210" t="s">
        <v>9</v>
      </c>
      <c r="M13" s="210" t="s">
        <v>9</v>
      </c>
      <c r="N13" s="25"/>
      <c r="O13" s="51">
        <f t="shared" si="3"/>
        <v>8</v>
      </c>
      <c r="P13" s="78">
        <f t="shared" si="4"/>
        <v>0</v>
      </c>
      <c r="Q13" s="79">
        <f t="shared" si="1"/>
        <v>8</v>
      </c>
      <c r="R13" s="52">
        <v>400000</v>
      </c>
      <c r="S13" s="77">
        <f t="shared" si="2"/>
        <v>3200000</v>
      </c>
      <c r="T13" s="50"/>
    </row>
    <row r="14" spans="1:21" s="31" customFormat="1" x14ac:dyDescent="0.3">
      <c r="A14" s="61">
        <v>11</v>
      </c>
      <c r="B14" s="28" t="s">
        <v>43</v>
      </c>
      <c r="C14" s="48" t="s">
        <v>80</v>
      </c>
      <c r="D14" s="90" t="s">
        <v>5</v>
      </c>
      <c r="E14" s="41" t="s">
        <v>9</v>
      </c>
      <c r="F14" s="21" t="s">
        <v>9</v>
      </c>
      <c r="G14" s="21" t="s">
        <v>9</v>
      </c>
      <c r="H14" s="35" t="s">
        <v>9</v>
      </c>
      <c r="I14" s="21"/>
      <c r="J14" s="21" t="s">
        <v>9</v>
      </c>
      <c r="K14" s="210" t="s">
        <v>9</v>
      </c>
      <c r="L14" s="210" t="s">
        <v>9</v>
      </c>
      <c r="M14" s="210" t="s">
        <v>9</v>
      </c>
      <c r="N14" s="25" t="s">
        <v>9</v>
      </c>
      <c r="O14" s="51">
        <f t="shared" si="3"/>
        <v>9</v>
      </c>
      <c r="P14" s="78">
        <f t="shared" si="4"/>
        <v>0</v>
      </c>
      <c r="Q14" s="79">
        <f t="shared" si="1"/>
        <v>9</v>
      </c>
      <c r="R14" s="52">
        <v>280000</v>
      </c>
      <c r="S14" s="77">
        <f t="shared" si="2"/>
        <v>2520000</v>
      </c>
      <c r="T14" s="50"/>
    </row>
    <row r="15" spans="1:21" s="31" customFormat="1" x14ac:dyDescent="0.3">
      <c r="A15" s="61">
        <f t="shared" si="5"/>
        <v>12</v>
      </c>
      <c r="B15" s="28" t="s">
        <v>41</v>
      </c>
      <c r="C15" s="48" t="s">
        <v>80</v>
      </c>
      <c r="D15" s="90" t="s">
        <v>4</v>
      </c>
      <c r="E15" s="41"/>
      <c r="F15" s="21"/>
      <c r="G15" s="21"/>
      <c r="H15" s="35"/>
      <c r="I15" s="21"/>
      <c r="J15" s="21"/>
      <c r="K15" s="210"/>
      <c r="L15" s="210"/>
      <c r="M15" s="210"/>
      <c r="N15" s="25" t="s">
        <v>9</v>
      </c>
      <c r="O15" s="51">
        <f t="shared" si="3"/>
        <v>1</v>
      </c>
      <c r="P15" s="78">
        <f t="shared" si="4"/>
        <v>0</v>
      </c>
      <c r="Q15" s="79">
        <f t="shared" si="1"/>
        <v>1</v>
      </c>
      <c r="R15" s="52">
        <v>400000</v>
      </c>
      <c r="S15" s="77">
        <f t="shared" si="2"/>
        <v>400000</v>
      </c>
      <c r="T15" s="50"/>
    </row>
    <row r="16" spans="1:21" s="31" customFormat="1" x14ac:dyDescent="0.3">
      <c r="A16" s="61">
        <f>A15+1</f>
        <v>13</v>
      </c>
      <c r="B16" s="28" t="s">
        <v>47</v>
      </c>
      <c r="C16" s="48"/>
      <c r="D16" s="90" t="s">
        <v>4</v>
      </c>
      <c r="E16" s="41" t="s">
        <v>9</v>
      </c>
      <c r="F16" s="21" t="s">
        <v>9</v>
      </c>
      <c r="G16" s="21" t="s">
        <v>9</v>
      </c>
      <c r="H16" s="35" t="s">
        <v>9</v>
      </c>
      <c r="I16" s="21"/>
      <c r="J16" s="21" t="s">
        <v>9</v>
      </c>
      <c r="K16" s="210" t="s">
        <v>9</v>
      </c>
      <c r="L16" s="210" t="s">
        <v>9</v>
      </c>
      <c r="M16" s="210" t="s">
        <v>9</v>
      </c>
      <c r="N16" s="25" t="s">
        <v>9</v>
      </c>
      <c r="O16" s="51">
        <f t="shared" si="3"/>
        <v>9</v>
      </c>
      <c r="P16" s="78">
        <f t="shared" si="4"/>
        <v>0</v>
      </c>
      <c r="Q16" s="79">
        <f t="shared" si="1"/>
        <v>9</v>
      </c>
      <c r="R16" s="52">
        <v>390000</v>
      </c>
      <c r="S16" s="52">
        <f t="shared" si="2"/>
        <v>3510000</v>
      </c>
      <c r="T16" s="50"/>
    </row>
    <row r="17" spans="1:20" s="31" customFormat="1" x14ac:dyDescent="0.3">
      <c r="A17" s="61">
        <v>14</v>
      </c>
      <c r="B17" s="28" t="s">
        <v>61</v>
      </c>
      <c r="C17" s="48" t="s">
        <v>60</v>
      </c>
      <c r="D17" s="92" t="s">
        <v>4</v>
      </c>
      <c r="E17" s="41" t="s">
        <v>9</v>
      </c>
      <c r="F17" s="21" t="s">
        <v>9</v>
      </c>
      <c r="G17" s="21" t="s">
        <v>9</v>
      </c>
      <c r="H17" s="35" t="s">
        <v>9</v>
      </c>
      <c r="I17" s="21"/>
      <c r="J17" s="21" t="s">
        <v>9</v>
      </c>
      <c r="K17" s="210" t="s">
        <v>9</v>
      </c>
      <c r="L17" s="210" t="s">
        <v>9</v>
      </c>
      <c r="M17" s="210"/>
      <c r="N17" s="25"/>
      <c r="O17" s="51">
        <f t="shared" si="3"/>
        <v>7</v>
      </c>
      <c r="P17" s="78">
        <f t="shared" si="4"/>
        <v>0</v>
      </c>
      <c r="Q17" s="79">
        <f t="shared" si="1"/>
        <v>7</v>
      </c>
      <c r="R17" s="53">
        <v>370000</v>
      </c>
      <c r="S17" s="77">
        <f t="shared" si="2"/>
        <v>2590000</v>
      </c>
      <c r="T17" s="50"/>
    </row>
    <row r="18" spans="1:20" s="31" customFormat="1" x14ac:dyDescent="0.3">
      <c r="A18" s="61">
        <v>15</v>
      </c>
      <c r="B18" s="28" t="s">
        <v>62</v>
      </c>
      <c r="C18" s="48"/>
      <c r="D18" s="92" t="s">
        <v>4</v>
      </c>
      <c r="E18" s="41" t="s">
        <v>9</v>
      </c>
      <c r="F18" s="21" t="s">
        <v>9</v>
      </c>
      <c r="G18" s="21" t="s">
        <v>9</v>
      </c>
      <c r="H18" s="35" t="s">
        <v>9</v>
      </c>
      <c r="I18" s="21" t="s">
        <v>9</v>
      </c>
      <c r="J18" s="21" t="s">
        <v>9</v>
      </c>
      <c r="K18" s="210" t="s">
        <v>9</v>
      </c>
      <c r="L18" s="210" t="s">
        <v>9</v>
      </c>
      <c r="M18" s="210" t="s">
        <v>9</v>
      </c>
      <c r="N18" s="25"/>
      <c r="O18" s="51">
        <f t="shared" si="3"/>
        <v>9</v>
      </c>
      <c r="P18" s="78">
        <f t="shared" si="4"/>
        <v>0</v>
      </c>
      <c r="Q18" s="79">
        <f t="shared" si="1"/>
        <v>9</v>
      </c>
      <c r="R18" s="53">
        <v>360000</v>
      </c>
      <c r="S18" s="77">
        <f t="shared" si="2"/>
        <v>3240000</v>
      </c>
      <c r="T18" s="50"/>
    </row>
    <row r="19" spans="1:20" s="31" customFormat="1" x14ac:dyDescent="0.3">
      <c r="A19" s="61">
        <v>16</v>
      </c>
      <c r="B19" s="28" t="s">
        <v>63</v>
      </c>
      <c r="C19" s="48" t="s">
        <v>60</v>
      </c>
      <c r="D19" s="92" t="s">
        <v>4</v>
      </c>
      <c r="E19" s="41" t="s">
        <v>9</v>
      </c>
      <c r="F19" s="21" t="s">
        <v>9</v>
      </c>
      <c r="G19" s="21" t="s">
        <v>9</v>
      </c>
      <c r="H19" s="35" t="s">
        <v>9</v>
      </c>
      <c r="I19" s="21" t="s">
        <v>8</v>
      </c>
      <c r="J19" s="21"/>
      <c r="K19" s="210"/>
      <c r="L19" s="210" t="s">
        <v>9</v>
      </c>
      <c r="M19" s="210" t="s">
        <v>9</v>
      </c>
      <c r="N19" s="25"/>
      <c r="O19" s="51">
        <f t="shared" si="3"/>
        <v>6</v>
      </c>
      <c r="P19" s="78">
        <f t="shared" si="4"/>
        <v>0.5</v>
      </c>
      <c r="Q19" s="79">
        <f t="shared" si="1"/>
        <v>6.5</v>
      </c>
      <c r="R19" s="53">
        <v>380000</v>
      </c>
      <c r="S19" s="77">
        <f t="shared" si="2"/>
        <v>2470000</v>
      </c>
      <c r="T19" s="50"/>
    </row>
    <row r="20" spans="1:20" s="31" customFormat="1" x14ac:dyDescent="0.3">
      <c r="A20" s="61">
        <v>17</v>
      </c>
      <c r="B20" s="28" t="s">
        <v>59</v>
      </c>
      <c r="C20" s="48" t="s">
        <v>60</v>
      </c>
      <c r="D20" s="92" t="s">
        <v>5</v>
      </c>
      <c r="E20" s="41" t="s">
        <v>9</v>
      </c>
      <c r="F20" s="21" t="s">
        <v>9</v>
      </c>
      <c r="G20" s="21" t="s">
        <v>9</v>
      </c>
      <c r="H20" s="35" t="s">
        <v>9</v>
      </c>
      <c r="I20" s="21" t="s">
        <v>9</v>
      </c>
      <c r="J20" s="21"/>
      <c r="K20" s="210" t="s">
        <v>9</v>
      </c>
      <c r="L20" s="210" t="s">
        <v>9</v>
      </c>
      <c r="M20" s="210" t="s">
        <v>9</v>
      </c>
      <c r="N20" s="25" t="s">
        <v>9</v>
      </c>
      <c r="O20" s="51">
        <f t="shared" si="3"/>
        <v>9</v>
      </c>
      <c r="P20" s="78">
        <f t="shared" si="4"/>
        <v>0</v>
      </c>
      <c r="Q20" s="79">
        <f t="shared" si="1"/>
        <v>9</v>
      </c>
      <c r="R20" s="53">
        <v>270000</v>
      </c>
      <c r="S20" s="77">
        <f t="shared" si="2"/>
        <v>2430000</v>
      </c>
      <c r="T20" s="50"/>
    </row>
    <row r="21" spans="1:20" s="31" customFormat="1" x14ac:dyDescent="0.3">
      <c r="A21" s="61">
        <v>18</v>
      </c>
      <c r="B21" s="28" t="s">
        <v>64</v>
      </c>
      <c r="C21" s="48" t="s">
        <v>60</v>
      </c>
      <c r="D21" s="92" t="s">
        <v>4</v>
      </c>
      <c r="E21" s="41" t="s">
        <v>9</v>
      </c>
      <c r="F21" s="21"/>
      <c r="G21" s="21"/>
      <c r="H21" s="35" t="s">
        <v>9</v>
      </c>
      <c r="I21" s="21"/>
      <c r="J21" s="21" t="s">
        <v>9</v>
      </c>
      <c r="K21" s="210" t="s">
        <v>9</v>
      </c>
      <c r="L21" s="210" t="s">
        <v>9</v>
      </c>
      <c r="M21" s="210" t="s">
        <v>9</v>
      </c>
      <c r="N21" s="25" t="s">
        <v>9</v>
      </c>
      <c r="O21" s="51">
        <f t="shared" si="3"/>
        <v>7</v>
      </c>
      <c r="P21" s="78">
        <f t="shared" si="4"/>
        <v>0</v>
      </c>
      <c r="Q21" s="79">
        <f t="shared" si="1"/>
        <v>7</v>
      </c>
      <c r="R21" s="53">
        <v>380000</v>
      </c>
      <c r="S21" s="77">
        <f t="shared" si="2"/>
        <v>2660000</v>
      </c>
      <c r="T21" s="50"/>
    </row>
    <row r="22" spans="1:20" s="55" customFormat="1" x14ac:dyDescent="0.3">
      <c r="A22" s="61">
        <v>19</v>
      </c>
      <c r="B22" s="158" t="s">
        <v>65</v>
      </c>
      <c r="C22" s="29" t="s">
        <v>60</v>
      </c>
      <c r="D22" s="92" t="s">
        <v>4</v>
      </c>
      <c r="E22" s="41"/>
      <c r="F22" s="21"/>
      <c r="G22" s="21"/>
      <c r="H22" s="35" t="s">
        <v>9</v>
      </c>
      <c r="I22" s="21"/>
      <c r="J22" s="21" t="s">
        <v>9</v>
      </c>
      <c r="K22" s="210" t="s">
        <v>9</v>
      </c>
      <c r="L22" s="210" t="s">
        <v>9</v>
      </c>
      <c r="M22" s="210"/>
      <c r="N22" s="25"/>
      <c r="O22" s="51">
        <f t="shared" si="3"/>
        <v>4</v>
      </c>
      <c r="P22" s="78">
        <f t="shared" si="4"/>
        <v>0</v>
      </c>
      <c r="Q22" s="79">
        <f t="shared" si="1"/>
        <v>4</v>
      </c>
      <c r="R22" s="53">
        <v>370000</v>
      </c>
      <c r="S22" s="77">
        <f t="shared" si="2"/>
        <v>1480000</v>
      </c>
      <c r="T22" s="30"/>
    </row>
    <row r="23" spans="1:20" s="31" customFormat="1" x14ac:dyDescent="0.3">
      <c r="A23" s="61">
        <v>20</v>
      </c>
      <c r="B23" s="48" t="s">
        <v>126</v>
      </c>
      <c r="C23" s="48"/>
      <c r="D23" s="91" t="s">
        <v>5</v>
      </c>
      <c r="E23" s="41"/>
      <c r="F23" s="21"/>
      <c r="G23" s="21"/>
      <c r="H23" s="35"/>
      <c r="I23" s="21"/>
      <c r="J23" s="21"/>
      <c r="K23" s="210"/>
      <c r="L23" s="210"/>
      <c r="M23" s="210"/>
      <c r="N23" s="25"/>
      <c r="O23" s="51">
        <f t="shared" si="3"/>
        <v>0</v>
      </c>
      <c r="P23" s="78">
        <f t="shared" si="4"/>
        <v>0</v>
      </c>
      <c r="Q23" s="79">
        <f t="shared" si="1"/>
        <v>0</v>
      </c>
      <c r="R23" s="52">
        <v>280000</v>
      </c>
      <c r="S23" s="77">
        <f t="shared" si="2"/>
        <v>0</v>
      </c>
      <c r="T23" s="50"/>
    </row>
    <row r="24" spans="1:20" s="31" customFormat="1" x14ac:dyDescent="0.3">
      <c r="A24" s="61">
        <v>21</v>
      </c>
      <c r="B24" s="116" t="s">
        <v>143</v>
      </c>
      <c r="C24" s="116"/>
      <c r="D24" s="117" t="s">
        <v>4</v>
      </c>
      <c r="E24" s="41" t="s">
        <v>9</v>
      </c>
      <c r="F24" s="21" t="s">
        <v>9</v>
      </c>
      <c r="G24" s="21" t="s">
        <v>9</v>
      </c>
      <c r="H24" s="35" t="s">
        <v>9</v>
      </c>
      <c r="I24" s="21" t="s">
        <v>8</v>
      </c>
      <c r="J24" s="21" t="s">
        <v>9</v>
      </c>
      <c r="K24" s="210" t="s">
        <v>9</v>
      </c>
      <c r="L24" s="210" t="s">
        <v>9</v>
      </c>
      <c r="M24" s="210" t="s">
        <v>9</v>
      </c>
      <c r="N24" s="25" t="s">
        <v>9</v>
      </c>
      <c r="O24" s="51">
        <f t="shared" si="3"/>
        <v>9</v>
      </c>
      <c r="P24" s="78">
        <f t="shared" si="4"/>
        <v>0.5</v>
      </c>
      <c r="Q24" s="79">
        <f t="shared" si="1"/>
        <v>9.5</v>
      </c>
      <c r="R24" s="53">
        <v>380000</v>
      </c>
      <c r="S24" s="77">
        <f t="shared" si="2"/>
        <v>3610000</v>
      </c>
      <c r="T24" s="86"/>
    </row>
    <row r="25" spans="1:20" s="31" customFormat="1" x14ac:dyDescent="0.3">
      <c r="A25" s="61">
        <v>22</v>
      </c>
      <c r="B25" s="116" t="s">
        <v>144</v>
      </c>
      <c r="C25" s="116"/>
      <c r="D25" s="117" t="s">
        <v>4</v>
      </c>
      <c r="E25" s="41"/>
      <c r="F25" s="21"/>
      <c r="G25" s="21"/>
      <c r="H25" s="35"/>
      <c r="I25" s="21"/>
      <c r="J25" s="21" t="s">
        <v>9</v>
      </c>
      <c r="K25" s="210" t="s">
        <v>9</v>
      </c>
      <c r="L25" s="210" t="s">
        <v>9</v>
      </c>
      <c r="M25" s="210" t="s">
        <v>9</v>
      </c>
      <c r="N25" s="25" t="s">
        <v>9</v>
      </c>
      <c r="O25" s="51">
        <f t="shared" si="3"/>
        <v>5</v>
      </c>
      <c r="P25" s="78">
        <f t="shared" si="4"/>
        <v>0</v>
      </c>
      <c r="Q25" s="79">
        <f t="shared" si="1"/>
        <v>5</v>
      </c>
      <c r="R25" s="53">
        <v>280000</v>
      </c>
      <c r="S25" s="77">
        <f t="shared" si="2"/>
        <v>1400000</v>
      </c>
      <c r="T25" s="86"/>
    </row>
    <row r="26" spans="1:20" s="31" customFormat="1" x14ac:dyDescent="0.3">
      <c r="A26" s="61">
        <v>23</v>
      </c>
      <c r="B26" s="116" t="s">
        <v>164</v>
      </c>
      <c r="C26" s="116"/>
      <c r="D26" s="117" t="s">
        <v>5</v>
      </c>
      <c r="E26" s="127"/>
      <c r="F26" s="21"/>
      <c r="G26" s="21"/>
      <c r="H26" s="35"/>
      <c r="I26" s="21"/>
      <c r="J26" s="21"/>
      <c r="K26" s="210"/>
      <c r="L26" s="210"/>
      <c r="M26" s="210"/>
      <c r="N26" s="25"/>
      <c r="O26" s="51">
        <f t="shared" si="3"/>
        <v>0</v>
      </c>
      <c r="P26" s="78">
        <f t="shared" si="4"/>
        <v>0</v>
      </c>
      <c r="Q26" s="79">
        <f t="shared" si="1"/>
        <v>0</v>
      </c>
      <c r="R26" s="53">
        <v>270000</v>
      </c>
      <c r="S26" s="77">
        <f t="shared" si="2"/>
        <v>0</v>
      </c>
      <c r="T26" s="86"/>
    </row>
    <row r="27" spans="1:20" s="31" customFormat="1" x14ac:dyDescent="0.3">
      <c r="A27" s="61">
        <v>24</v>
      </c>
      <c r="B27" s="116" t="s">
        <v>171</v>
      </c>
      <c r="C27" s="116"/>
      <c r="D27" s="117" t="s">
        <v>5</v>
      </c>
      <c r="E27" s="127"/>
      <c r="F27" s="21" t="s">
        <v>9</v>
      </c>
      <c r="G27" s="21" t="s">
        <v>9</v>
      </c>
      <c r="H27" s="35" t="s">
        <v>9</v>
      </c>
      <c r="I27" s="21"/>
      <c r="J27" s="21" t="s">
        <v>9</v>
      </c>
      <c r="K27" s="210" t="s">
        <v>9</v>
      </c>
      <c r="L27" s="210" t="s">
        <v>9</v>
      </c>
      <c r="M27" s="210" t="s">
        <v>9</v>
      </c>
      <c r="N27" s="25" t="s">
        <v>9</v>
      </c>
      <c r="O27" s="51">
        <f t="shared" si="3"/>
        <v>8</v>
      </c>
      <c r="P27" s="78">
        <f t="shared" si="4"/>
        <v>0</v>
      </c>
      <c r="Q27" s="139">
        <f t="shared" si="1"/>
        <v>8</v>
      </c>
      <c r="R27" s="53">
        <v>280000</v>
      </c>
      <c r="S27" s="54">
        <f t="shared" si="2"/>
        <v>2240000</v>
      </c>
      <c r="T27" s="86"/>
    </row>
    <row r="28" spans="1:20" s="31" customFormat="1" x14ac:dyDescent="0.3">
      <c r="A28" s="61">
        <v>25</v>
      </c>
      <c r="B28" s="116" t="s">
        <v>172</v>
      </c>
      <c r="C28" s="116"/>
      <c r="D28" s="117" t="s">
        <v>4</v>
      </c>
      <c r="E28" s="21"/>
      <c r="F28" s="21"/>
      <c r="G28" s="35"/>
      <c r="H28" s="21"/>
      <c r="I28" s="21"/>
      <c r="J28" s="21"/>
      <c r="K28" s="211"/>
      <c r="L28" s="211"/>
      <c r="M28" s="211"/>
      <c r="N28" s="33"/>
      <c r="O28" s="51">
        <f t="shared" si="3"/>
        <v>0</v>
      </c>
      <c r="P28" s="78">
        <f t="shared" si="4"/>
        <v>0</v>
      </c>
      <c r="Q28" s="139">
        <f t="shared" si="1"/>
        <v>0</v>
      </c>
      <c r="R28" s="53">
        <v>370000</v>
      </c>
      <c r="S28" s="54">
        <f t="shared" si="2"/>
        <v>0</v>
      </c>
      <c r="T28" s="86"/>
    </row>
    <row r="29" spans="1:20" s="31" customFormat="1" x14ac:dyDescent="0.3">
      <c r="A29" s="61">
        <v>26</v>
      </c>
      <c r="B29" s="116" t="s">
        <v>186</v>
      </c>
      <c r="C29" s="116"/>
      <c r="D29" s="117" t="s">
        <v>5</v>
      </c>
      <c r="E29" s="127"/>
      <c r="F29" s="32"/>
      <c r="G29" s="32"/>
      <c r="H29" s="36"/>
      <c r="I29" s="32"/>
      <c r="J29" s="32"/>
      <c r="K29" s="211"/>
      <c r="L29" s="211"/>
      <c r="M29" s="211"/>
      <c r="N29" s="33"/>
      <c r="O29" s="51">
        <f t="shared" si="3"/>
        <v>0</v>
      </c>
      <c r="P29" s="78">
        <f t="shared" si="4"/>
        <v>0</v>
      </c>
      <c r="Q29" s="139">
        <f t="shared" si="1"/>
        <v>0</v>
      </c>
      <c r="R29" s="53">
        <v>260000</v>
      </c>
      <c r="S29" s="54">
        <f t="shared" si="2"/>
        <v>0</v>
      </c>
      <c r="T29" s="86"/>
    </row>
    <row r="30" spans="1:20" s="31" customFormat="1" x14ac:dyDescent="0.3">
      <c r="A30" s="61">
        <v>27</v>
      </c>
      <c r="B30" s="116" t="s">
        <v>194</v>
      </c>
      <c r="C30" s="116"/>
      <c r="D30" s="117" t="s">
        <v>4</v>
      </c>
      <c r="E30" s="127"/>
      <c r="F30" s="32" t="s">
        <v>9</v>
      </c>
      <c r="G30" s="32" t="s">
        <v>9</v>
      </c>
      <c r="H30" s="36" t="s">
        <v>9</v>
      </c>
      <c r="I30" s="32" t="s">
        <v>8</v>
      </c>
      <c r="J30" s="32" t="s">
        <v>9</v>
      </c>
      <c r="K30" s="211" t="s">
        <v>9</v>
      </c>
      <c r="L30" s="211" t="s">
        <v>9</v>
      </c>
      <c r="M30" s="211" t="s">
        <v>9</v>
      </c>
      <c r="N30" s="33" t="s">
        <v>9</v>
      </c>
      <c r="O30" s="51">
        <f t="shared" si="3"/>
        <v>8</v>
      </c>
      <c r="P30" s="78">
        <f t="shared" si="4"/>
        <v>0.5</v>
      </c>
      <c r="Q30" s="139">
        <f t="shared" si="1"/>
        <v>8.5</v>
      </c>
      <c r="R30" s="53">
        <v>380000</v>
      </c>
      <c r="S30" s="54">
        <f t="shared" si="2"/>
        <v>3230000</v>
      </c>
      <c r="T30" s="86"/>
    </row>
    <row r="31" spans="1:20" s="31" customFormat="1" x14ac:dyDescent="0.3">
      <c r="A31" s="61">
        <v>28</v>
      </c>
      <c r="B31" s="116" t="s">
        <v>220</v>
      </c>
      <c r="C31" s="116"/>
      <c r="D31" s="117" t="s">
        <v>4</v>
      </c>
      <c r="E31" s="127" t="s">
        <v>9</v>
      </c>
      <c r="F31" s="32" t="s">
        <v>9</v>
      </c>
      <c r="G31" s="32" t="s">
        <v>9</v>
      </c>
      <c r="H31" s="36" t="s">
        <v>9</v>
      </c>
      <c r="I31" s="32"/>
      <c r="J31" s="32" t="s">
        <v>9</v>
      </c>
      <c r="K31" s="211" t="s">
        <v>9</v>
      </c>
      <c r="L31" s="211" t="s">
        <v>9</v>
      </c>
      <c r="M31" s="211" t="s">
        <v>9</v>
      </c>
      <c r="N31" s="33"/>
      <c r="O31" s="51">
        <f t="shared" si="3"/>
        <v>8</v>
      </c>
      <c r="P31" s="78">
        <f t="shared" si="4"/>
        <v>0</v>
      </c>
      <c r="Q31" s="139">
        <f t="shared" si="1"/>
        <v>8</v>
      </c>
      <c r="R31" s="53">
        <v>370000</v>
      </c>
      <c r="S31" s="54">
        <f t="shared" si="2"/>
        <v>2960000</v>
      </c>
      <c r="T31" s="86"/>
    </row>
    <row r="32" spans="1:20" s="31" customFormat="1" x14ac:dyDescent="0.3">
      <c r="A32" s="61">
        <v>29</v>
      </c>
      <c r="B32" s="116" t="s">
        <v>221</v>
      </c>
      <c r="C32" s="116"/>
      <c r="D32" s="117" t="s">
        <v>4</v>
      </c>
      <c r="E32" s="127"/>
      <c r="F32" s="32"/>
      <c r="G32" s="32"/>
      <c r="H32" s="36"/>
      <c r="I32" s="32"/>
      <c r="J32" s="32"/>
      <c r="K32" s="211"/>
      <c r="L32" s="211" t="s">
        <v>9</v>
      </c>
      <c r="M32" s="211" t="s">
        <v>9</v>
      </c>
      <c r="N32" s="33" t="s">
        <v>9</v>
      </c>
      <c r="O32" s="51">
        <f t="shared" si="3"/>
        <v>3</v>
      </c>
      <c r="P32" s="78">
        <f t="shared" si="4"/>
        <v>0</v>
      </c>
      <c r="Q32" s="139">
        <f t="shared" si="1"/>
        <v>3</v>
      </c>
      <c r="R32" s="53">
        <v>380000</v>
      </c>
      <c r="S32" s="54">
        <f t="shared" si="2"/>
        <v>1140000</v>
      </c>
      <c r="T32" s="86"/>
    </row>
    <row r="33" spans="1:20" s="31" customFormat="1" x14ac:dyDescent="0.3">
      <c r="A33" s="61">
        <v>30</v>
      </c>
      <c r="B33" s="48" t="s">
        <v>222</v>
      </c>
      <c r="C33" s="48"/>
      <c r="D33" s="91" t="s">
        <v>4</v>
      </c>
      <c r="E33" s="41" t="s">
        <v>9</v>
      </c>
      <c r="F33" s="32" t="s">
        <v>9</v>
      </c>
      <c r="G33" s="32" t="s">
        <v>9</v>
      </c>
      <c r="H33" s="36" t="s">
        <v>9</v>
      </c>
      <c r="I33" s="32" t="s">
        <v>9</v>
      </c>
      <c r="J33" s="32" t="s">
        <v>9</v>
      </c>
      <c r="K33" s="211" t="s">
        <v>9</v>
      </c>
      <c r="L33" s="211" t="s">
        <v>9</v>
      </c>
      <c r="M33" s="211" t="s">
        <v>9</v>
      </c>
      <c r="N33" s="33" t="s">
        <v>9</v>
      </c>
      <c r="O33" s="51">
        <f t="shared" si="3"/>
        <v>10</v>
      </c>
      <c r="P33" s="78">
        <f t="shared" si="4"/>
        <v>0</v>
      </c>
      <c r="Q33" s="139">
        <f t="shared" si="1"/>
        <v>10</v>
      </c>
      <c r="R33" s="53">
        <v>360000</v>
      </c>
      <c r="S33" s="54">
        <f t="shared" si="2"/>
        <v>3600000</v>
      </c>
      <c r="T33" s="86"/>
    </row>
    <row r="34" spans="1:20" s="31" customFormat="1" x14ac:dyDescent="0.3">
      <c r="A34" s="61">
        <v>31</v>
      </c>
      <c r="B34" s="116" t="s">
        <v>223</v>
      </c>
      <c r="C34" s="116"/>
      <c r="D34" s="117" t="s">
        <v>5</v>
      </c>
      <c r="E34" s="127" t="s">
        <v>9</v>
      </c>
      <c r="F34" s="32" t="s">
        <v>9</v>
      </c>
      <c r="G34" s="32" t="s">
        <v>9</v>
      </c>
      <c r="H34" s="36" t="s">
        <v>9</v>
      </c>
      <c r="I34" s="32" t="s">
        <v>9</v>
      </c>
      <c r="J34" s="32" t="s">
        <v>9</v>
      </c>
      <c r="K34" s="211" t="s">
        <v>9</v>
      </c>
      <c r="L34" s="211" t="s">
        <v>9</v>
      </c>
      <c r="M34" s="211" t="s">
        <v>9</v>
      </c>
      <c r="N34" s="33" t="s">
        <v>9</v>
      </c>
      <c r="O34" s="51">
        <f t="shared" si="3"/>
        <v>10</v>
      </c>
      <c r="P34" s="78">
        <f t="shared" si="4"/>
        <v>0</v>
      </c>
      <c r="Q34" s="139">
        <f t="shared" si="1"/>
        <v>10</v>
      </c>
      <c r="R34" s="53">
        <v>280000</v>
      </c>
      <c r="S34" s="54">
        <f t="shared" si="2"/>
        <v>2800000</v>
      </c>
      <c r="T34" s="86"/>
    </row>
    <row r="35" spans="1:20" s="31" customFormat="1" x14ac:dyDescent="0.3">
      <c r="A35" s="61">
        <v>32</v>
      </c>
      <c r="B35" s="116" t="s">
        <v>224</v>
      </c>
      <c r="C35" s="116"/>
      <c r="D35" s="117" t="s">
        <v>4</v>
      </c>
      <c r="E35" s="127" t="s">
        <v>9</v>
      </c>
      <c r="F35" s="32" t="s">
        <v>9</v>
      </c>
      <c r="G35" s="32" t="s">
        <v>9</v>
      </c>
      <c r="H35" s="36" t="s">
        <v>9</v>
      </c>
      <c r="I35" s="32"/>
      <c r="J35" s="32" t="s">
        <v>9</v>
      </c>
      <c r="K35" s="211" t="s">
        <v>9</v>
      </c>
      <c r="L35" s="211" t="s">
        <v>9</v>
      </c>
      <c r="M35" s="211" t="s">
        <v>9</v>
      </c>
      <c r="N35" s="33" t="s">
        <v>9</v>
      </c>
      <c r="O35" s="51">
        <f t="shared" si="3"/>
        <v>9</v>
      </c>
      <c r="P35" s="78">
        <f t="shared" si="4"/>
        <v>0</v>
      </c>
      <c r="Q35" s="139">
        <f t="shared" si="1"/>
        <v>9</v>
      </c>
      <c r="R35" s="53">
        <v>370000</v>
      </c>
      <c r="S35" s="54">
        <f t="shared" si="2"/>
        <v>3330000</v>
      </c>
      <c r="T35" s="86"/>
    </row>
    <row r="36" spans="1:20" s="31" customFormat="1" x14ac:dyDescent="0.3">
      <c r="A36" s="61">
        <v>33</v>
      </c>
      <c r="B36" s="116" t="s">
        <v>225</v>
      </c>
      <c r="C36" s="116"/>
      <c r="D36" s="117" t="s">
        <v>5</v>
      </c>
      <c r="E36" s="127" t="s">
        <v>9</v>
      </c>
      <c r="F36" s="32" t="s">
        <v>9</v>
      </c>
      <c r="G36" s="32" t="s">
        <v>9</v>
      </c>
      <c r="H36" s="36" t="s">
        <v>9</v>
      </c>
      <c r="I36" s="32"/>
      <c r="J36" s="32" t="s">
        <v>9</v>
      </c>
      <c r="K36" s="211" t="s">
        <v>9</v>
      </c>
      <c r="L36" s="211" t="s">
        <v>9</v>
      </c>
      <c r="M36" s="211" t="s">
        <v>9</v>
      </c>
      <c r="N36" s="33" t="s">
        <v>9</v>
      </c>
      <c r="O36" s="51">
        <f t="shared" si="3"/>
        <v>9</v>
      </c>
      <c r="P36" s="78">
        <f t="shared" si="4"/>
        <v>0</v>
      </c>
      <c r="Q36" s="139">
        <f t="shared" si="1"/>
        <v>9</v>
      </c>
      <c r="R36" s="53">
        <v>270000</v>
      </c>
      <c r="S36" s="54">
        <f t="shared" si="2"/>
        <v>2430000</v>
      </c>
      <c r="T36" s="86"/>
    </row>
    <row r="37" spans="1:20" s="31" customFormat="1" x14ac:dyDescent="0.3">
      <c r="A37" s="61">
        <v>34</v>
      </c>
      <c r="B37" s="116" t="s">
        <v>226</v>
      </c>
      <c r="C37" s="116"/>
      <c r="D37" s="117" t="s">
        <v>4</v>
      </c>
      <c r="E37" s="127" t="s">
        <v>9</v>
      </c>
      <c r="F37" s="32" t="s">
        <v>9</v>
      </c>
      <c r="G37" s="32" t="s">
        <v>9</v>
      </c>
      <c r="H37" s="36" t="s">
        <v>9</v>
      </c>
      <c r="I37" s="32"/>
      <c r="J37" s="32" t="s">
        <v>9</v>
      </c>
      <c r="K37" s="211" t="s">
        <v>9</v>
      </c>
      <c r="L37" s="211" t="s">
        <v>9</v>
      </c>
      <c r="M37" s="211" t="s">
        <v>9</v>
      </c>
      <c r="N37" s="33" t="s">
        <v>9</v>
      </c>
      <c r="O37" s="51">
        <f t="shared" si="3"/>
        <v>9</v>
      </c>
      <c r="P37" s="78">
        <f t="shared" si="4"/>
        <v>0</v>
      </c>
      <c r="Q37" s="139">
        <f t="shared" si="1"/>
        <v>9</v>
      </c>
      <c r="R37" s="53">
        <v>360000</v>
      </c>
      <c r="S37" s="54">
        <f t="shared" si="2"/>
        <v>3240000</v>
      </c>
      <c r="T37" s="86"/>
    </row>
    <row r="38" spans="1:20" s="31" customFormat="1" x14ac:dyDescent="0.3">
      <c r="A38" s="61">
        <v>35</v>
      </c>
      <c r="B38" s="116" t="s">
        <v>229</v>
      </c>
      <c r="C38" s="116"/>
      <c r="D38" s="117" t="s">
        <v>5</v>
      </c>
      <c r="E38" s="127" t="s">
        <v>9</v>
      </c>
      <c r="F38" s="32" t="s">
        <v>9</v>
      </c>
      <c r="G38" s="32" t="s">
        <v>9</v>
      </c>
      <c r="H38" s="36" t="s">
        <v>9</v>
      </c>
      <c r="I38" s="32"/>
      <c r="J38" s="32"/>
      <c r="K38" s="211"/>
      <c r="L38" s="211" t="s">
        <v>9</v>
      </c>
      <c r="M38" s="211" t="s">
        <v>9</v>
      </c>
      <c r="N38" s="33" t="s">
        <v>9</v>
      </c>
      <c r="O38" s="51">
        <f t="shared" si="3"/>
        <v>7</v>
      </c>
      <c r="P38" s="78">
        <f t="shared" si="4"/>
        <v>0</v>
      </c>
      <c r="Q38" s="139">
        <f t="shared" si="1"/>
        <v>7</v>
      </c>
      <c r="R38" s="53">
        <v>270000</v>
      </c>
      <c r="S38" s="54">
        <f t="shared" si="2"/>
        <v>1890000</v>
      </c>
      <c r="T38" s="86"/>
    </row>
    <row r="39" spans="1:20" s="55" customFormat="1" x14ac:dyDescent="0.3">
      <c r="A39" s="61">
        <v>36</v>
      </c>
      <c r="B39" s="159" t="s">
        <v>230</v>
      </c>
      <c r="C39" s="159"/>
      <c r="D39" s="160" t="s">
        <v>5</v>
      </c>
      <c r="E39" s="127"/>
      <c r="F39" s="32"/>
      <c r="G39" s="32"/>
      <c r="H39" s="36"/>
      <c r="I39" s="32"/>
      <c r="J39" s="32"/>
      <c r="K39" s="211"/>
      <c r="L39" s="211"/>
      <c r="M39" s="211"/>
      <c r="N39" s="33"/>
      <c r="O39" s="51">
        <f t="shared" si="3"/>
        <v>0</v>
      </c>
      <c r="P39" s="78">
        <f t="shared" si="4"/>
        <v>0</v>
      </c>
      <c r="Q39" s="139">
        <f t="shared" si="1"/>
        <v>0</v>
      </c>
      <c r="R39" s="53">
        <v>260000</v>
      </c>
      <c r="S39" s="54">
        <f t="shared" si="2"/>
        <v>0</v>
      </c>
      <c r="T39" s="161"/>
    </row>
    <row r="40" spans="1:20" s="31" customFormat="1" x14ac:dyDescent="0.3">
      <c r="A40" s="61">
        <v>37</v>
      </c>
      <c r="B40" s="116" t="s">
        <v>231</v>
      </c>
      <c r="C40" s="116"/>
      <c r="D40" s="117" t="s">
        <v>4</v>
      </c>
      <c r="E40" s="127"/>
      <c r="F40" s="32"/>
      <c r="G40" s="32"/>
      <c r="H40" s="36"/>
      <c r="I40" s="32"/>
      <c r="J40" s="32" t="s">
        <v>9</v>
      </c>
      <c r="K40" s="211" t="s">
        <v>9</v>
      </c>
      <c r="L40" s="211" t="s">
        <v>9</v>
      </c>
      <c r="M40" s="211" t="s">
        <v>9</v>
      </c>
      <c r="N40" s="33" t="s">
        <v>9</v>
      </c>
      <c r="O40" s="51">
        <f t="shared" si="3"/>
        <v>5</v>
      </c>
      <c r="P40" s="78">
        <f t="shared" si="4"/>
        <v>0</v>
      </c>
      <c r="Q40" s="139">
        <f t="shared" si="1"/>
        <v>5</v>
      </c>
      <c r="R40" s="53">
        <v>360000</v>
      </c>
      <c r="S40" s="54">
        <f t="shared" si="2"/>
        <v>1800000</v>
      </c>
      <c r="T40" s="86"/>
    </row>
    <row r="41" spans="1:20" s="31" customFormat="1" x14ac:dyDescent="0.3">
      <c r="A41" s="61">
        <v>38</v>
      </c>
      <c r="B41" s="116" t="s">
        <v>232</v>
      </c>
      <c r="C41" s="116"/>
      <c r="D41" s="117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33"/>
      <c r="O41" s="51">
        <f t="shared" si="3"/>
        <v>0</v>
      </c>
      <c r="P41" s="78">
        <f t="shared" si="4"/>
        <v>0</v>
      </c>
      <c r="Q41" s="139">
        <f t="shared" si="1"/>
        <v>0</v>
      </c>
      <c r="R41" s="53">
        <v>360000</v>
      </c>
      <c r="S41" s="54">
        <f t="shared" si="2"/>
        <v>0</v>
      </c>
      <c r="T41" s="86"/>
    </row>
    <row r="42" spans="1:20" s="31" customFormat="1" x14ac:dyDescent="0.3">
      <c r="A42" s="61">
        <v>39</v>
      </c>
      <c r="B42" s="116" t="s">
        <v>233</v>
      </c>
      <c r="C42" s="116"/>
      <c r="D42" s="117" t="s">
        <v>5</v>
      </c>
      <c r="E42" s="127" t="s">
        <v>9</v>
      </c>
      <c r="F42" s="32" t="s">
        <v>9</v>
      </c>
      <c r="G42" s="32" t="s">
        <v>9</v>
      </c>
      <c r="H42" s="36" t="s">
        <v>9</v>
      </c>
      <c r="I42" s="32"/>
      <c r="J42" s="32" t="s">
        <v>9</v>
      </c>
      <c r="K42" s="211" t="s">
        <v>9</v>
      </c>
      <c r="L42" s="211" t="s">
        <v>9</v>
      </c>
      <c r="M42" s="211" t="s">
        <v>9</v>
      </c>
      <c r="N42" s="33" t="s">
        <v>9</v>
      </c>
      <c r="O42" s="51">
        <f t="shared" si="3"/>
        <v>9</v>
      </c>
      <c r="P42" s="78">
        <f t="shared" si="4"/>
        <v>0</v>
      </c>
      <c r="Q42" s="139">
        <f t="shared" si="1"/>
        <v>9</v>
      </c>
      <c r="R42" s="53">
        <v>260000</v>
      </c>
      <c r="S42" s="54">
        <f t="shared" si="2"/>
        <v>2340000</v>
      </c>
      <c r="T42" s="86"/>
    </row>
    <row r="43" spans="1:20" s="31" customFormat="1" x14ac:dyDescent="0.3">
      <c r="A43" s="61">
        <v>40</v>
      </c>
      <c r="B43" s="116" t="s">
        <v>45</v>
      </c>
      <c r="C43" s="116"/>
      <c r="D43" s="117" t="s">
        <v>4</v>
      </c>
      <c r="E43" s="127"/>
      <c r="F43" s="32" t="s">
        <v>9</v>
      </c>
      <c r="G43" s="32" t="s">
        <v>9</v>
      </c>
      <c r="H43" s="36" t="s">
        <v>9</v>
      </c>
      <c r="I43" s="32"/>
      <c r="J43" s="32" t="s">
        <v>9</v>
      </c>
      <c r="K43" s="211" t="s">
        <v>9</v>
      </c>
      <c r="L43" s="211" t="s">
        <v>9</v>
      </c>
      <c r="M43" s="211"/>
      <c r="N43" s="33"/>
      <c r="O43" s="51">
        <f t="shared" si="3"/>
        <v>6</v>
      </c>
      <c r="P43" s="78">
        <f t="shared" si="4"/>
        <v>0</v>
      </c>
      <c r="Q43" s="139">
        <f t="shared" si="1"/>
        <v>6</v>
      </c>
      <c r="R43" s="53">
        <v>370000</v>
      </c>
      <c r="S43" s="54">
        <f t="shared" si="2"/>
        <v>2220000</v>
      </c>
      <c r="T43" s="86"/>
    </row>
    <row r="44" spans="1:20" s="31" customFormat="1" x14ac:dyDescent="0.3">
      <c r="A44" s="61">
        <v>41</v>
      </c>
      <c r="B44" s="116" t="s">
        <v>236</v>
      </c>
      <c r="C44" s="116"/>
      <c r="D44" s="117" t="s">
        <v>5</v>
      </c>
      <c r="E44" s="127"/>
      <c r="F44" s="32"/>
      <c r="G44" s="32"/>
      <c r="H44" s="36"/>
      <c r="I44" s="32"/>
      <c r="J44" s="32"/>
      <c r="K44" s="211"/>
      <c r="L44" s="211"/>
      <c r="M44" s="211"/>
      <c r="N44" s="33"/>
      <c r="O44" s="51">
        <f t="shared" si="3"/>
        <v>0</v>
      </c>
      <c r="P44" s="78">
        <f t="shared" si="4"/>
        <v>0</v>
      </c>
      <c r="Q44" s="139">
        <f t="shared" si="1"/>
        <v>0</v>
      </c>
      <c r="R44" s="53">
        <v>270000</v>
      </c>
      <c r="S44" s="54">
        <f t="shared" si="2"/>
        <v>0</v>
      </c>
      <c r="T44" s="86"/>
    </row>
    <row r="45" spans="1:20" s="31" customFormat="1" x14ac:dyDescent="0.3">
      <c r="A45" s="61">
        <v>42</v>
      </c>
      <c r="B45" s="116" t="s">
        <v>235</v>
      </c>
      <c r="C45" s="116"/>
      <c r="D45" s="117" t="s">
        <v>4</v>
      </c>
      <c r="E45" s="127" t="s">
        <v>9</v>
      </c>
      <c r="F45" s="32" t="s">
        <v>9</v>
      </c>
      <c r="G45" s="32" t="s">
        <v>9</v>
      </c>
      <c r="H45" s="36" t="s">
        <v>9</v>
      </c>
      <c r="I45" s="32" t="s">
        <v>9</v>
      </c>
      <c r="J45" s="32" t="s">
        <v>9</v>
      </c>
      <c r="K45" s="211" t="s">
        <v>9</v>
      </c>
      <c r="L45" s="211" t="s">
        <v>9</v>
      </c>
      <c r="M45" s="211" t="s">
        <v>9</v>
      </c>
      <c r="N45" s="33" t="s">
        <v>9</v>
      </c>
      <c r="O45" s="51">
        <f t="shared" si="3"/>
        <v>10</v>
      </c>
      <c r="P45" s="78">
        <f t="shared" si="4"/>
        <v>0</v>
      </c>
      <c r="Q45" s="139">
        <f t="shared" si="1"/>
        <v>10</v>
      </c>
      <c r="R45" s="53">
        <v>360000</v>
      </c>
      <c r="S45" s="54">
        <f t="shared" si="2"/>
        <v>3600000</v>
      </c>
      <c r="T45" s="86"/>
    </row>
    <row r="46" spans="1:20" s="31" customFormat="1" x14ac:dyDescent="0.3">
      <c r="A46" s="61">
        <v>43</v>
      </c>
      <c r="B46" s="116" t="s">
        <v>237</v>
      </c>
      <c r="C46" s="116"/>
      <c r="D46" s="117" t="s">
        <v>5</v>
      </c>
      <c r="E46" s="127" t="s">
        <v>9</v>
      </c>
      <c r="F46" s="32" t="s">
        <v>9</v>
      </c>
      <c r="G46" s="32" t="s">
        <v>9</v>
      </c>
      <c r="H46" s="36" t="s">
        <v>9</v>
      </c>
      <c r="I46" s="32" t="s">
        <v>9</v>
      </c>
      <c r="J46" s="32" t="s">
        <v>9</v>
      </c>
      <c r="K46" s="211" t="s">
        <v>9</v>
      </c>
      <c r="L46" s="211" t="s">
        <v>9</v>
      </c>
      <c r="M46" s="211" t="s">
        <v>9</v>
      </c>
      <c r="N46" s="33" t="s">
        <v>9</v>
      </c>
      <c r="O46" s="51">
        <f t="shared" si="3"/>
        <v>10</v>
      </c>
      <c r="P46" s="78">
        <f t="shared" si="4"/>
        <v>0</v>
      </c>
      <c r="Q46" s="139">
        <f t="shared" si="1"/>
        <v>10</v>
      </c>
      <c r="R46" s="53">
        <v>270000</v>
      </c>
      <c r="S46" s="54">
        <f t="shared" si="2"/>
        <v>2700000</v>
      </c>
      <c r="T46" s="86"/>
    </row>
    <row r="47" spans="1:20" s="31" customFormat="1" x14ac:dyDescent="0.3">
      <c r="A47" s="61">
        <v>44</v>
      </c>
      <c r="B47" s="116" t="s">
        <v>238</v>
      </c>
      <c r="C47" s="116"/>
      <c r="D47" s="117" t="s">
        <v>5</v>
      </c>
      <c r="E47" s="127"/>
      <c r="F47" s="32"/>
      <c r="G47" s="32"/>
      <c r="H47" s="32"/>
      <c r="I47" s="36"/>
      <c r="J47" s="32"/>
      <c r="K47" s="211"/>
      <c r="L47" s="211"/>
      <c r="M47" s="211"/>
      <c r="N47" s="33"/>
      <c r="O47" s="51">
        <f t="shared" si="3"/>
        <v>0</v>
      </c>
      <c r="P47" s="78">
        <f t="shared" si="4"/>
        <v>0</v>
      </c>
      <c r="Q47" s="139">
        <f t="shared" si="1"/>
        <v>0</v>
      </c>
      <c r="R47" s="53">
        <v>270000</v>
      </c>
      <c r="S47" s="54">
        <f t="shared" si="2"/>
        <v>0</v>
      </c>
      <c r="T47" s="86"/>
    </row>
    <row r="48" spans="1:20" s="31" customFormat="1" x14ac:dyDescent="0.3">
      <c r="A48" s="61">
        <v>45</v>
      </c>
      <c r="B48" s="48" t="s">
        <v>239</v>
      </c>
      <c r="C48" s="48"/>
      <c r="D48" s="91" t="s">
        <v>5</v>
      </c>
      <c r="E48" s="41"/>
      <c r="F48" s="21"/>
      <c r="G48" s="21"/>
      <c r="H48" s="35"/>
      <c r="I48" s="21"/>
      <c r="J48" s="21"/>
      <c r="K48" s="210"/>
      <c r="L48" s="210"/>
      <c r="M48" s="210"/>
      <c r="N48" s="25"/>
      <c r="O48" s="51">
        <f t="shared" si="3"/>
        <v>0</v>
      </c>
      <c r="P48" s="78">
        <f t="shared" si="4"/>
        <v>0</v>
      </c>
      <c r="Q48" s="139">
        <f t="shared" si="1"/>
        <v>0</v>
      </c>
      <c r="R48" s="53">
        <v>270000</v>
      </c>
      <c r="S48" s="54">
        <f t="shared" si="2"/>
        <v>0</v>
      </c>
      <c r="T48" s="86"/>
    </row>
    <row r="49" spans="1:20" s="31" customFormat="1" x14ac:dyDescent="0.3">
      <c r="A49" s="61">
        <v>46</v>
      </c>
      <c r="B49" s="116" t="s">
        <v>240</v>
      </c>
      <c r="C49" s="116"/>
      <c r="D49" s="117" t="s">
        <v>4</v>
      </c>
      <c r="E49" s="127" t="s">
        <v>9</v>
      </c>
      <c r="F49" s="32" t="s">
        <v>9</v>
      </c>
      <c r="G49" s="32" t="s">
        <v>9</v>
      </c>
      <c r="H49" s="36" t="s">
        <v>9</v>
      </c>
      <c r="I49" s="32"/>
      <c r="J49" s="32" t="s">
        <v>9</v>
      </c>
      <c r="K49" s="211" t="s">
        <v>9</v>
      </c>
      <c r="L49" s="211" t="s">
        <v>9</v>
      </c>
      <c r="M49" s="211" t="s">
        <v>9</v>
      </c>
      <c r="N49" s="33" t="s">
        <v>9</v>
      </c>
      <c r="O49" s="51">
        <f t="shared" si="3"/>
        <v>9</v>
      </c>
      <c r="P49" s="78">
        <f t="shared" si="4"/>
        <v>0</v>
      </c>
      <c r="Q49" s="139">
        <f t="shared" si="1"/>
        <v>9</v>
      </c>
      <c r="R49" s="53">
        <v>360000</v>
      </c>
      <c r="S49" s="54">
        <f t="shared" si="2"/>
        <v>3240000</v>
      </c>
      <c r="T49" s="86"/>
    </row>
    <row r="50" spans="1:20" s="31" customFormat="1" x14ac:dyDescent="0.3">
      <c r="A50" s="61">
        <v>47</v>
      </c>
      <c r="B50" s="116" t="s">
        <v>241</v>
      </c>
      <c r="C50" s="116"/>
      <c r="D50" s="117" t="s">
        <v>4</v>
      </c>
      <c r="E50" s="127" t="s">
        <v>9</v>
      </c>
      <c r="F50" s="32" t="s">
        <v>9</v>
      </c>
      <c r="G50" s="32" t="s">
        <v>9</v>
      </c>
      <c r="H50" s="36" t="s">
        <v>9</v>
      </c>
      <c r="I50" s="32"/>
      <c r="J50" s="32" t="s">
        <v>9</v>
      </c>
      <c r="K50" s="211" t="s">
        <v>9</v>
      </c>
      <c r="L50" s="211" t="s">
        <v>9</v>
      </c>
      <c r="M50" s="211" t="s">
        <v>9</v>
      </c>
      <c r="N50" s="33" t="s">
        <v>9</v>
      </c>
      <c r="O50" s="51">
        <f t="shared" si="3"/>
        <v>9</v>
      </c>
      <c r="P50" s="78">
        <f t="shared" si="4"/>
        <v>0</v>
      </c>
      <c r="Q50" s="139">
        <f t="shared" si="1"/>
        <v>9</v>
      </c>
      <c r="R50" s="53">
        <v>360000</v>
      </c>
      <c r="S50" s="54">
        <f t="shared" si="2"/>
        <v>3240000</v>
      </c>
      <c r="T50" s="86"/>
    </row>
    <row r="51" spans="1:20" s="31" customFormat="1" x14ac:dyDescent="0.3">
      <c r="A51" s="61">
        <v>48</v>
      </c>
      <c r="B51" s="116" t="s">
        <v>242</v>
      </c>
      <c r="C51" s="116"/>
      <c r="D51" s="117" t="s">
        <v>5</v>
      </c>
      <c r="E51" s="127" t="s">
        <v>9</v>
      </c>
      <c r="F51" s="32" t="s">
        <v>9</v>
      </c>
      <c r="G51" s="32" t="s">
        <v>9</v>
      </c>
      <c r="H51" s="36" t="s">
        <v>9</v>
      </c>
      <c r="I51" s="32"/>
      <c r="J51" s="32" t="s">
        <v>9</v>
      </c>
      <c r="K51" s="211" t="s">
        <v>9</v>
      </c>
      <c r="L51" s="211" t="s">
        <v>9</v>
      </c>
      <c r="M51" s="211" t="s">
        <v>9</v>
      </c>
      <c r="N51" s="33" t="s">
        <v>9</v>
      </c>
      <c r="O51" s="51">
        <f t="shared" si="3"/>
        <v>9</v>
      </c>
      <c r="P51" s="78">
        <f t="shared" si="4"/>
        <v>0</v>
      </c>
      <c r="Q51" s="139">
        <f t="shared" si="1"/>
        <v>9</v>
      </c>
      <c r="R51" s="53">
        <v>270000</v>
      </c>
      <c r="S51" s="54">
        <f t="shared" si="2"/>
        <v>2430000</v>
      </c>
      <c r="T51" s="86"/>
    </row>
    <row r="52" spans="1:20" s="31" customFormat="1" x14ac:dyDescent="0.3">
      <c r="A52" s="61">
        <v>49</v>
      </c>
      <c r="B52" s="48" t="s">
        <v>243</v>
      </c>
      <c r="C52" s="48"/>
      <c r="D52" s="91" t="s">
        <v>5</v>
      </c>
      <c r="E52" s="41"/>
      <c r="F52" s="32"/>
      <c r="G52" s="32"/>
      <c r="H52" s="36"/>
      <c r="I52" s="32"/>
      <c r="J52" s="32"/>
      <c r="K52" s="211"/>
      <c r="L52" s="211"/>
      <c r="M52" s="211"/>
      <c r="N52" s="33"/>
      <c r="O52" s="51">
        <f t="shared" si="3"/>
        <v>0</v>
      </c>
      <c r="P52" s="78">
        <f t="shared" si="4"/>
        <v>0</v>
      </c>
      <c r="Q52" s="139">
        <f t="shared" si="1"/>
        <v>0</v>
      </c>
      <c r="R52" s="53">
        <v>270000</v>
      </c>
      <c r="S52" s="54">
        <f t="shared" si="2"/>
        <v>0</v>
      </c>
      <c r="T52" s="86"/>
    </row>
    <row r="53" spans="1:20" s="31" customFormat="1" x14ac:dyDescent="0.3">
      <c r="A53" s="61">
        <v>50</v>
      </c>
      <c r="B53" s="116" t="s">
        <v>287</v>
      </c>
      <c r="C53" s="116"/>
      <c r="D53" s="117" t="s">
        <v>4</v>
      </c>
      <c r="E53" s="127" t="s">
        <v>9</v>
      </c>
      <c r="F53" s="32" t="s">
        <v>9</v>
      </c>
      <c r="G53" s="32" t="s">
        <v>9</v>
      </c>
      <c r="H53" s="36" t="s">
        <v>9</v>
      </c>
      <c r="I53" s="32"/>
      <c r="J53" s="32" t="s">
        <v>9</v>
      </c>
      <c r="K53" s="211" t="s">
        <v>9</v>
      </c>
      <c r="L53" s="211" t="s">
        <v>9</v>
      </c>
      <c r="M53" s="211" t="s">
        <v>9</v>
      </c>
      <c r="N53" s="33" t="s">
        <v>9</v>
      </c>
      <c r="O53" s="51">
        <f t="shared" si="3"/>
        <v>9</v>
      </c>
      <c r="P53" s="78">
        <f t="shared" si="4"/>
        <v>0</v>
      </c>
      <c r="Q53" s="139">
        <f t="shared" si="1"/>
        <v>9</v>
      </c>
      <c r="R53" s="53">
        <v>360000</v>
      </c>
      <c r="S53" s="54">
        <f t="shared" si="2"/>
        <v>3240000</v>
      </c>
      <c r="T53" s="86"/>
    </row>
    <row r="54" spans="1:20" s="31" customFormat="1" x14ac:dyDescent="0.3">
      <c r="A54" s="82">
        <v>51</v>
      </c>
      <c r="B54" s="116" t="s">
        <v>289</v>
      </c>
      <c r="C54" s="116"/>
      <c r="D54" s="117" t="s">
        <v>4</v>
      </c>
      <c r="E54" s="127"/>
      <c r="F54" s="32"/>
      <c r="G54" s="32"/>
      <c r="H54" s="36"/>
      <c r="I54" s="32"/>
      <c r="J54" s="32"/>
      <c r="K54" s="211"/>
      <c r="L54" s="211"/>
      <c r="M54" s="211"/>
      <c r="N54" s="33"/>
      <c r="O54" s="51">
        <f t="shared" si="3"/>
        <v>0</v>
      </c>
      <c r="P54" s="78">
        <f t="shared" si="4"/>
        <v>0</v>
      </c>
      <c r="Q54" s="139">
        <f t="shared" si="1"/>
        <v>0</v>
      </c>
      <c r="R54" s="53">
        <v>360000</v>
      </c>
      <c r="S54" s="54">
        <f t="shared" si="2"/>
        <v>0</v>
      </c>
      <c r="T54" s="86"/>
    </row>
    <row r="55" spans="1:20" s="31" customFormat="1" x14ac:dyDescent="0.3">
      <c r="A55" s="82">
        <v>52</v>
      </c>
      <c r="B55" s="116" t="s">
        <v>290</v>
      </c>
      <c r="C55" s="116"/>
      <c r="D55" s="117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33"/>
      <c r="O55" s="51">
        <f t="shared" si="3"/>
        <v>0</v>
      </c>
      <c r="P55" s="78">
        <f t="shared" si="4"/>
        <v>0</v>
      </c>
      <c r="Q55" s="139">
        <f t="shared" si="1"/>
        <v>0</v>
      </c>
      <c r="R55" s="53">
        <v>270000</v>
      </c>
      <c r="S55" s="54">
        <f t="shared" si="2"/>
        <v>0</v>
      </c>
      <c r="T55" s="86"/>
    </row>
    <row r="56" spans="1:20" s="31" customFormat="1" x14ac:dyDescent="0.3">
      <c r="A56" s="82">
        <v>53</v>
      </c>
      <c r="B56" s="116" t="s">
        <v>288</v>
      </c>
      <c r="C56" s="116"/>
      <c r="D56" s="117" t="s">
        <v>5</v>
      </c>
      <c r="E56" s="127"/>
      <c r="F56" s="32" t="s">
        <v>9</v>
      </c>
      <c r="G56" s="32" t="s">
        <v>9</v>
      </c>
      <c r="H56" s="36" t="s">
        <v>9</v>
      </c>
      <c r="I56" s="32" t="s">
        <v>8</v>
      </c>
      <c r="J56" s="32" t="s">
        <v>9</v>
      </c>
      <c r="K56" s="211" t="s">
        <v>9</v>
      </c>
      <c r="L56" s="211" t="s">
        <v>9</v>
      </c>
      <c r="M56" s="211" t="s">
        <v>9</v>
      </c>
      <c r="N56" s="33" t="s">
        <v>9</v>
      </c>
      <c r="O56" s="51">
        <f t="shared" si="3"/>
        <v>8</v>
      </c>
      <c r="P56" s="78">
        <f t="shared" si="4"/>
        <v>0.5</v>
      </c>
      <c r="Q56" s="139">
        <f t="shared" si="1"/>
        <v>8.5</v>
      </c>
      <c r="R56" s="53">
        <v>270000</v>
      </c>
      <c r="S56" s="54">
        <f t="shared" si="2"/>
        <v>2295000</v>
      </c>
      <c r="T56" s="86"/>
    </row>
    <row r="57" spans="1:20" s="31" customFormat="1" x14ac:dyDescent="0.3">
      <c r="A57" s="82">
        <v>54</v>
      </c>
      <c r="B57" s="116" t="s">
        <v>291</v>
      </c>
      <c r="C57" s="116"/>
      <c r="D57" s="117" t="s">
        <v>5</v>
      </c>
      <c r="E57" s="127" t="s">
        <v>9</v>
      </c>
      <c r="F57" s="32" t="s">
        <v>9</v>
      </c>
      <c r="G57" s="32" t="s">
        <v>9</v>
      </c>
      <c r="H57" s="36" t="s">
        <v>9</v>
      </c>
      <c r="I57" s="32" t="s">
        <v>9</v>
      </c>
      <c r="J57" s="32" t="s">
        <v>9</v>
      </c>
      <c r="K57" s="211"/>
      <c r="L57" s="211" t="s">
        <v>9</v>
      </c>
      <c r="M57" s="211" t="s">
        <v>9</v>
      </c>
      <c r="N57" s="33" t="s">
        <v>9</v>
      </c>
      <c r="O57" s="51">
        <f t="shared" si="3"/>
        <v>9</v>
      </c>
      <c r="P57" s="78">
        <f t="shared" si="4"/>
        <v>0</v>
      </c>
      <c r="Q57" s="139">
        <f t="shared" si="1"/>
        <v>9</v>
      </c>
      <c r="R57" s="53">
        <v>270000</v>
      </c>
      <c r="S57" s="54">
        <f t="shared" si="2"/>
        <v>2430000</v>
      </c>
      <c r="T57" s="86"/>
    </row>
    <row r="58" spans="1:20" s="31" customFormat="1" x14ac:dyDescent="0.3">
      <c r="A58" s="82">
        <v>55</v>
      </c>
      <c r="B58" s="116" t="s">
        <v>295</v>
      </c>
      <c r="C58" s="116"/>
      <c r="D58" s="117" t="s">
        <v>5</v>
      </c>
      <c r="E58" s="127" t="s">
        <v>9</v>
      </c>
      <c r="F58" s="32"/>
      <c r="G58" s="32" t="s">
        <v>9</v>
      </c>
      <c r="H58" s="36" t="s">
        <v>9</v>
      </c>
      <c r="I58" s="32" t="s">
        <v>9</v>
      </c>
      <c r="J58" s="32" t="s">
        <v>9</v>
      </c>
      <c r="K58" s="211" t="s">
        <v>9</v>
      </c>
      <c r="L58" s="211" t="s">
        <v>9</v>
      </c>
      <c r="M58" s="211" t="s">
        <v>9</v>
      </c>
      <c r="N58" s="33" t="s">
        <v>9</v>
      </c>
      <c r="O58" s="51">
        <f t="shared" si="3"/>
        <v>9</v>
      </c>
      <c r="P58" s="78">
        <f t="shared" si="4"/>
        <v>0</v>
      </c>
      <c r="Q58" s="139">
        <f t="shared" si="1"/>
        <v>9</v>
      </c>
      <c r="R58" s="53">
        <v>270000</v>
      </c>
      <c r="S58" s="54">
        <f t="shared" si="2"/>
        <v>2430000</v>
      </c>
      <c r="T58" s="86"/>
    </row>
    <row r="59" spans="1:20" s="31" customFormat="1" x14ac:dyDescent="0.3">
      <c r="A59" s="82">
        <v>56</v>
      </c>
      <c r="B59" s="116" t="s">
        <v>296</v>
      </c>
      <c r="C59" s="116"/>
      <c r="D59" s="117" t="s">
        <v>5</v>
      </c>
      <c r="E59" s="127" t="s">
        <v>9</v>
      </c>
      <c r="F59" s="32"/>
      <c r="G59" s="32" t="s">
        <v>9</v>
      </c>
      <c r="H59" s="36"/>
      <c r="I59" s="32"/>
      <c r="J59" s="32" t="s">
        <v>9</v>
      </c>
      <c r="K59" s="211" t="s">
        <v>9</v>
      </c>
      <c r="L59" s="211" t="s">
        <v>9</v>
      </c>
      <c r="M59" s="211" t="s">
        <v>9</v>
      </c>
      <c r="N59" s="33" t="s">
        <v>9</v>
      </c>
      <c r="O59" s="51">
        <f t="shared" si="3"/>
        <v>7</v>
      </c>
      <c r="P59" s="78">
        <f t="shared" si="4"/>
        <v>0</v>
      </c>
      <c r="Q59" s="139">
        <f t="shared" si="1"/>
        <v>7</v>
      </c>
      <c r="R59" s="53">
        <v>270000</v>
      </c>
      <c r="S59" s="54">
        <f t="shared" si="2"/>
        <v>1890000</v>
      </c>
      <c r="T59" s="86"/>
    </row>
    <row r="60" spans="1:20" s="31" customFormat="1" x14ac:dyDescent="0.3">
      <c r="A60" s="82">
        <v>57</v>
      </c>
      <c r="B60" s="116" t="s">
        <v>297</v>
      </c>
      <c r="C60" s="116"/>
      <c r="D60" s="117" t="s">
        <v>4</v>
      </c>
      <c r="E60" s="127"/>
      <c r="F60" s="32"/>
      <c r="G60" s="32"/>
      <c r="H60" s="36"/>
      <c r="I60" s="32"/>
      <c r="J60" s="32"/>
      <c r="K60" s="211"/>
      <c r="L60" s="211"/>
      <c r="M60" s="211"/>
      <c r="N60" s="33"/>
      <c r="O60" s="51">
        <f t="shared" si="3"/>
        <v>0</v>
      </c>
      <c r="P60" s="78">
        <f t="shared" si="4"/>
        <v>0</v>
      </c>
      <c r="Q60" s="139">
        <f t="shared" si="1"/>
        <v>0</v>
      </c>
      <c r="R60" s="53">
        <v>360000</v>
      </c>
      <c r="S60" s="54">
        <f t="shared" si="2"/>
        <v>0</v>
      </c>
      <c r="T60" s="86"/>
    </row>
    <row r="61" spans="1:20" s="31" customFormat="1" x14ac:dyDescent="0.3">
      <c r="A61" s="82">
        <v>58</v>
      </c>
      <c r="B61" s="116" t="s">
        <v>298</v>
      </c>
      <c r="C61" s="116"/>
      <c r="D61" s="117" t="s">
        <v>5</v>
      </c>
      <c r="E61" s="127"/>
      <c r="F61" s="32"/>
      <c r="G61" s="32"/>
      <c r="H61" s="36"/>
      <c r="I61" s="32"/>
      <c r="J61" s="32" t="s">
        <v>9</v>
      </c>
      <c r="K61" s="211" t="s">
        <v>9</v>
      </c>
      <c r="L61" s="211"/>
      <c r="M61" s="211"/>
      <c r="N61" s="33"/>
      <c r="O61" s="51">
        <f t="shared" si="3"/>
        <v>2</v>
      </c>
      <c r="P61" s="78">
        <f t="shared" si="4"/>
        <v>0</v>
      </c>
      <c r="Q61" s="139">
        <f t="shared" si="1"/>
        <v>2</v>
      </c>
      <c r="R61" s="53">
        <v>270000</v>
      </c>
      <c r="S61" s="54">
        <f t="shared" si="2"/>
        <v>540000</v>
      </c>
      <c r="T61" s="86"/>
    </row>
    <row r="62" spans="1:20" s="31" customFormat="1" x14ac:dyDescent="0.3">
      <c r="A62" s="82">
        <v>59</v>
      </c>
      <c r="B62" s="116" t="s">
        <v>356</v>
      </c>
      <c r="C62" s="116"/>
      <c r="D62" s="117" t="s">
        <v>5</v>
      </c>
      <c r="E62" s="127"/>
      <c r="F62" s="32"/>
      <c r="G62" s="32"/>
      <c r="H62" s="36"/>
      <c r="I62" s="32"/>
      <c r="J62" s="32"/>
      <c r="K62" s="211"/>
      <c r="L62" s="211"/>
      <c r="M62" s="211"/>
      <c r="N62" s="33"/>
      <c r="O62" s="51">
        <f t="shared" si="3"/>
        <v>0</v>
      </c>
      <c r="P62" s="78">
        <f t="shared" si="4"/>
        <v>0</v>
      </c>
      <c r="Q62" s="139">
        <f t="shared" si="1"/>
        <v>0</v>
      </c>
      <c r="R62" s="53">
        <v>260000</v>
      </c>
      <c r="S62" s="54">
        <f t="shared" si="2"/>
        <v>0</v>
      </c>
      <c r="T62" s="86"/>
    </row>
    <row r="63" spans="1:20" s="31" customFormat="1" x14ac:dyDescent="0.3">
      <c r="A63" s="82">
        <v>60</v>
      </c>
      <c r="B63" s="116" t="s">
        <v>361</v>
      </c>
      <c r="C63" s="116"/>
      <c r="D63" s="117" t="s">
        <v>4</v>
      </c>
      <c r="E63" s="127" t="s">
        <v>9</v>
      </c>
      <c r="F63" s="32" t="s">
        <v>9</v>
      </c>
      <c r="G63" s="32" t="s">
        <v>9</v>
      </c>
      <c r="H63" s="36" t="s">
        <v>9</v>
      </c>
      <c r="I63" s="32"/>
      <c r="J63" s="32"/>
      <c r="K63" s="211" t="s">
        <v>9</v>
      </c>
      <c r="L63" s="211" t="s">
        <v>9</v>
      </c>
      <c r="M63" s="211" t="s">
        <v>9</v>
      </c>
      <c r="N63" s="33" t="s">
        <v>9</v>
      </c>
      <c r="O63" s="162">
        <f t="shared" si="3"/>
        <v>8</v>
      </c>
      <c r="P63" s="163">
        <f t="shared" si="4"/>
        <v>0</v>
      </c>
      <c r="Q63" s="139">
        <f t="shared" si="1"/>
        <v>8</v>
      </c>
      <c r="R63" s="53">
        <v>360000</v>
      </c>
      <c r="S63" s="54">
        <f t="shared" si="2"/>
        <v>2880000</v>
      </c>
      <c r="T63" s="86"/>
    </row>
    <row r="64" spans="1:20" s="31" customFormat="1" x14ac:dyDescent="0.3">
      <c r="A64" s="82">
        <v>61</v>
      </c>
      <c r="B64" s="116" t="s">
        <v>362</v>
      </c>
      <c r="C64" s="116"/>
      <c r="D64" s="117" t="s">
        <v>5</v>
      </c>
      <c r="E64" s="127" t="s">
        <v>9</v>
      </c>
      <c r="F64" s="32" t="s">
        <v>9</v>
      </c>
      <c r="G64" s="32" t="s">
        <v>9</v>
      </c>
      <c r="H64" s="36" t="s">
        <v>9</v>
      </c>
      <c r="I64" s="32"/>
      <c r="J64" s="32"/>
      <c r="K64" s="211" t="s">
        <v>9</v>
      </c>
      <c r="L64" s="211" t="s">
        <v>9</v>
      </c>
      <c r="M64" s="211" t="s">
        <v>9</v>
      </c>
      <c r="N64" s="33" t="s">
        <v>9</v>
      </c>
      <c r="O64" s="162">
        <f t="shared" si="3"/>
        <v>8</v>
      </c>
      <c r="P64" s="163">
        <f t="shared" si="4"/>
        <v>0</v>
      </c>
      <c r="Q64" s="139">
        <f t="shared" si="1"/>
        <v>8</v>
      </c>
      <c r="R64" s="53">
        <v>260000</v>
      </c>
      <c r="S64" s="54">
        <f t="shared" si="2"/>
        <v>2080000</v>
      </c>
      <c r="T64" s="86"/>
    </row>
    <row r="65" spans="1:21" s="31" customFormat="1" x14ac:dyDescent="0.3">
      <c r="A65" s="82">
        <v>62</v>
      </c>
      <c r="B65" s="116" t="s">
        <v>363</v>
      </c>
      <c r="C65" s="116"/>
      <c r="D65" s="117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33"/>
      <c r="O65" s="162">
        <f t="shared" si="3"/>
        <v>0</v>
      </c>
      <c r="P65" s="163">
        <f t="shared" si="4"/>
        <v>0</v>
      </c>
      <c r="Q65" s="139">
        <f t="shared" si="1"/>
        <v>0</v>
      </c>
      <c r="R65" s="53">
        <v>260000</v>
      </c>
      <c r="S65" s="54">
        <f t="shared" si="2"/>
        <v>0</v>
      </c>
      <c r="T65" s="86"/>
    </row>
    <row r="66" spans="1:21" s="31" customFormat="1" x14ac:dyDescent="0.3">
      <c r="A66" s="82">
        <v>63</v>
      </c>
      <c r="B66" s="116" t="s">
        <v>364</v>
      </c>
      <c r="C66" s="116"/>
      <c r="D66" s="117" t="s">
        <v>4</v>
      </c>
      <c r="E66" s="127" t="s">
        <v>9</v>
      </c>
      <c r="F66" s="32" t="s">
        <v>9</v>
      </c>
      <c r="G66" s="32" t="s">
        <v>9</v>
      </c>
      <c r="H66" s="36" t="s">
        <v>9</v>
      </c>
      <c r="I66" s="32"/>
      <c r="J66" s="32"/>
      <c r="K66" s="211" t="s">
        <v>9</v>
      </c>
      <c r="L66" s="211" t="s">
        <v>9</v>
      </c>
      <c r="M66" s="211" t="s">
        <v>9</v>
      </c>
      <c r="N66" s="33" t="s">
        <v>9</v>
      </c>
      <c r="O66" s="162">
        <f t="shared" si="3"/>
        <v>8</v>
      </c>
      <c r="P66" s="163">
        <f t="shared" si="4"/>
        <v>0</v>
      </c>
      <c r="Q66" s="139">
        <f t="shared" si="1"/>
        <v>8</v>
      </c>
      <c r="R66" s="53">
        <v>360000</v>
      </c>
      <c r="S66" s="54">
        <f t="shared" si="2"/>
        <v>2880000</v>
      </c>
      <c r="T66" s="86"/>
    </row>
    <row r="67" spans="1:21" s="31" customFormat="1" x14ac:dyDescent="0.3">
      <c r="A67" s="82">
        <v>64</v>
      </c>
      <c r="B67" s="116" t="s">
        <v>365</v>
      </c>
      <c r="C67" s="116"/>
      <c r="D67" s="117" t="s">
        <v>5</v>
      </c>
      <c r="E67" s="127"/>
      <c r="F67" s="32" t="s">
        <v>9</v>
      </c>
      <c r="G67" s="32" t="s">
        <v>9</v>
      </c>
      <c r="H67" s="36" t="s">
        <v>9</v>
      </c>
      <c r="I67" s="32"/>
      <c r="J67" s="32"/>
      <c r="K67" s="211"/>
      <c r="L67" s="211"/>
      <c r="M67" s="211"/>
      <c r="N67" s="33"/>
      <c r="O67" s="162">
        <f t="shared" si="3"/>
        <v>3</v>
      </c>
      <c r="P67" s="163">
        <f t="shared" si="4"/>
        <v>0</v>
      </c>
      <c r="Q67" s="139">
        <f t="shared" si="1"/>
        <v>3</v>
      </c>
      <c r="R67" s="53">
        <v>260000</v>
      </c>
      <c r="S67" s="54">
        <f t="shared" si="2"/>
        <v>780000</v>
      </c>
      <c r="T67" s="86"/>
    </row>
    <row r="68" spans="1:21" s="31" customFormat="1" x14ac:dyDescent="0.3">
      <c r="A68" s="82">
        <v>65</v>
      </c>
      <c r="B68" s="116" t="s">
        <v>366</v>
      </c>
      <c r="C68" s="116"/>
      <c r="D68" s="117" t="s">
        <v>4</v>
      </c>
      <c r="E68" s="127" t="s">
        <v>9</v>
      </c>
      <c r="F68" s="32" t="s">
        <v>9</v>
      </c>
      <c r="G68" s="32" t="s">
        <v>9</v>
      </c>
      <c r="H68" s="36" t="s">
        <v>9</v>
      </c>
      <c r="I68" s="32"/>
      <c r="J68" s="32" t="s">
        <v>9</v>
      </c>
      <c r="K68" s="211" t="s">
        <v>9</v>
      </c>
      <c r="L68" s="211" t="s">
        <v>9</v>
      </c>
      <c r="M68" s="211" t="s">
        <v>9</v>
      </c>
      <c r="N68" s="33" t="s">
        <v>9</v>
      </c>
      <c r="O68" s="162">
        <f t="shared" si="3"/>
        <v>9</v>
      </c>
      <c r="P68" s="163">
        <f t="shared" si="4"/>
        <v>0</v>
      </c>
      <c r="Q68" s="139">
        <f t="shared" ref="Q68:Q71" si="6">SUM(O68:P68)</f>
        <v>9</v>
      </c>
      <c r="R68" s="53">
        <v>360000</v>
      </c>
      <c r="S68" s="54">
        <f t="shared" ref="S68:S71" si="7">Q68*R68</f>
        <v>3240000</v>
      </c>
      <c r="T68" s="86"/>
    </row>
    <row r="69" spans="1:21" s="31" customFormat="1" x14ac:dyDescent="0.3">
      <c r="A69" s="82">
        <v>66</v>
      </c>
      <c r="B69" s="116" t="s">
        <v>367</v>
      </c>
      <c r="C69" s="116"/>
      <c r="D69" s="117" t="s">
        <v>5</v>
      </c>
      <c r="E69" s="127" t="s">
        <v>9</v>
      </c>
      <c r="F69" s="32" t="s">
        <v>9</v>
      </c>
      <c r="G69" s="32" t="s">
        <v>9</v>
      </c>
      <c r="H69" s="36" t="s">
        <v>9</v>
      </c>
      <c r="I69" s="32"/>
      <c r="J69" s="32"/>
      <c r="K69" s="211"/>
      <c r="L69" s="211"/>
      <c r="M69" s="211"/>
      <c r="N69" s="33"/>
      <c r="O69" s="162">
        <f t="shared" si="3"/>
        <v>4</v>
      </c>
      <c r="P69" s="163">
        <f t="shared" si="4"/>
        <v>0</v>
      </c>
      <c r="Q69" s="139">
        <f t="shared" si="6"/>
        <v>4</v>
      </c>
      <c r="R69" s="53">
        <v>260000</v>
      </c>
      <c r="S69" s="54">
        <f t="shared" si="7"/>
        <v>1040000</v>
      </c>
      <c r="T69" s="86"/>
    </row>
    <row r="70" spans="1:21" s="31" customFormat="1" x14ac:dyDescent="0.3">
      <c r="A70" s="82">
        <v>67</v>
      </c>
      <c r="B70" s="116" t="s">
        <v>368</v>
      </c>
      <c r="C70" s="116"/>
      <c r="D70" s="117" t="s">
        <v>5</v>
      </c>
      <c r="E70" s="127"/>
      <c r="F70" s="32" t="s">
        <v>9</v>
      </c>
      <c r="G70" s="32" t="s">
        <v>9</v>
      </c>
      <c r="H70" s="36" t="s">
        <v>9</v>
      </c>
      <c r="I70" s="32"/>
      <c r="J70" s="32"/>
      <c r="K70" s="211"/>
      <c r="L70" s="211"/>
      <c r="M70" s="211"/>
      <c r="N70" s="33"/>
      <c r="O70" s="162">
        <f t="shared" ref="O70:O71" si="8">COUNTIF(E70:N70,"X")</f>
        <v>3</v>
      </c>
      <c r="P70" s="163">
        <f t="shared" ref="P70:P71" si="9">COUNTIF(E70:N70,"X/2")/2</f>
        <v>0</v>
      </c>
      <c r="Q70" s="139">
        <f t="shared" si="6"/>
        <v>3</v>
      </c>
      <c r="R70" s="53">
        <v>260000</v>
      </c>
      <c r="S70" s="54">
        <f t="shared" si="7"/>
        <v>780000</v>
      </c>
      <c r="T70" s="86"/>
    </row>
    <row r="71" spans="1:21" s="31" customFormat="1" x14ac:dyDescent="0.3">
      <c r="A71" s="82">
        <v>68</v>
      </c>
      <c r="B71" s="116" t="s">
        <v>369</v>
      </c>
      <c r="C71" s="116"/>
      <c r="D71" s="117" t="s">
        <v>5</v>
      </c>
      <c r="E71" s="127"/>
      <c r="F71" s="32"/>
      <c r="G71" s="32"/>
      <c r="H71" s="36"/>
      <c r="I71" s="32"/>
      <c r="J71" s="32"/>
      <c r="K71" s="211" t="s">
        <v>9</v>
      </c>
      <c r="L71" s="211" t="s">
        <v>9</v>
      </c>
      <c r="M71" s="211"/>
      <c r="N71" s="33"/>
      <c r="O71" s="162">
        <f t="shared" si="8"/>
        <v>2</v>
      </c>
      <c r="P71" s="163">
        <f t="shared" si="9"/>
        <v>0</v>
      </c>
      <c r="Q71" s="139">
        <f t="shared" si="6"/>
        <v>2</v>
      </c>
      <c r="R71" s="53">
        <v>270000</v>
      </c>
      <c r="S71" s="54">
        <f t="shared" si="7"/>
        <v>540000</v>
      </c>
      <c r="T71" s="86"/>
    </row>
    <row r="72" spans="1:21" s="31" customFormat="1" hidden="1" x14ac:dyDescent="0.3">
      <c r="A72" s="82"/>
      <c r="B72" s="116"/>
      <c r="C72" s="116"/>
      <c r="D72" s="117"/>
      <c r="E72" s="127"/>
      <c r="F72" s="32"/>
      <c r="G72" s="32"/>
      <c r="H72" s="36"/>
      <c r="I72" s="32"/>
      <c r="J72" s="32"/>
      <c r="K72" s="211"/>
      <c r="L72" s="211"/>
      <c r="M72" s="211"/>
      <c r="N72" s="33"/>
      <c r="O72" s="162"/>
      <c r="P72" s="163"/>
      <c r="Q72" s="139"/>
      <c r="R72" s="53"/>
      <c r="S72" s="54"/>
      <c r="T72" s="86"/>
    </row>
    <row r="73" spans="1:21" s="31" customFormat="1" hidden="1" x14ac:dyDescent="0.3">
      <c r="A73" s="82"/>
      <c r="B73" s="116"/>
      <c r="C73" s="116"/>
      <c r="D73" s="117"/>
      <c r="E73" s="127"/>
      <c r="F73" s="32"/>
      <c r="G73" s="32"/>
      <c r="H73" s="36"/>
      <c r="I73" s="32"/>
      <c r="J73" s="32"/>
      <c r="K73" s="211"/>
      <c r="L73" s="211"/>
      <c r="M73" s="211"/>
      <c r="N73" s="33"/>
      <c r="O73" s="162"/>
      <c r="P73" s="163"/>
      <c r="Q73" s="139"/>
      <c r="R73" s="53"/>
      <c r="S73" s="54"/>
      <c r="T73" s="86"/>
    </row>
    <row r="74" spans="1:21" s="31" customFormat="1" hidden="1" x14ac:dyDescent="0.3">
      <c r="A74" s="82"/>
      <c r="B74" s="116"/>
      <c r="C74" s="116"/>
      <c r="D74" s="117"/>
      <c r="E74" s="127"/>
      <c r="F74" s="32"/>
      <c r="G74" s="32"/>
      <c r="H74" s="36"/>
      <c r="I74" s="32"/>
      <c r="J74" s="32"/>
      <c r="K74" s="211"/>
      <c r="L74" s="211"/>
      <c r="M74" s="211"/>
      <c r="N74" s="33"/>
      <c r="O74" s="162"/>
      <c r="P74" s="163"/>
      <c r="Q74" s="139"/>
      <c r="R74" s="53"/>
      <c r="S74" s="54"/>
      <c r="T74" s="86"/>
    </row>
    <row r="75" spans="1:21" s="31" customFormat="1" hidden="1" x14ac:dyDescent="0.3">
      <c r="A75" s="82"/>
      <c r="B75" s="116"/>
      <c r="C75" s="116"/>
      <c r="D75" s="117"/>
      <c r="E75" s="127"/>
      <c r="F75" s="32"/>
      <c r="G75" s="32"/>
      <c r="H75" s="36"/>
      <c r="I75" s="32"/>
      <c r="J75" s="32"/>
      <c r="K75" s="211"/>
      <c r="L75" s="211"/>
      <c r="M75" s="211"/>
      <c r="N75" s="33"/>
      <c r="O75" s="162"/>
      <c r="P75" s="163"/>
      <c r="Q75" s="139"/>
      <c r="R75" s="53"/>
      <c r="S75" s="54"/>
      <c r="T75" s="86"/>
    </row>
    <row r="76" spans="1:21" s="31" customFormat="1" hidden="1" x14ac:dyDescent="0.3">
      <c r="A76" s="82"/>
      <c r="B76" s="116"/>
      <c r="C76" s="116"/>
      <c r="D76" s="117"/>
      <c r="E76" s="127"/>
      <c r="F76" s="32"/>
      <c r="G76" s="32"/>
      <c r="H76" s="36"/>
      <c r="I76" s="32"/>
      <c r="J76" s="32"/>
      <c r="K76" s="211"/>
      <c r="L76" s="211"/>
      <c r="M76" s="211"/>
      <c r="N76" s="33"/>
      <c r="O76" s="162"/>
      <c r="P76" s="163"/>
      <c r="Q76" s="139"/>
      <c r="R76" s="53"/>
      <c r="S76" s="54"/>
      <c r="T76" s="86"/>
    </row>
    <row r="77" spans="1:21" s="31" customFormat="1" ht="16.2" thickBot="1" x14ac:dyDescent="0.35">
      <c r="A77" s="118"/>
      <c r="B77" s="119"/>
      <c r="C77" s="119"/>
      <c r="D77" s="120"/>
      <c r="E77" s="128"/>
      <c r="F77" s="27"/>
      <c r="G77" s="27"/>
      <c r="H77" s="37"/>
      <c r="I77" s="27"/>
      <c r="J77" s="27"/>
      <c r="K77" s="212"/>
      <c r="L77" s="212"/>
      <c r="M77" s="212"/>
      <c r="N77" s="26"/>
      <c r="O77" s="156"/>
      <c r="P77" s="174"/>
      <c r="Q77" s="80"/>
      <c r="R77" s="121"/>
      <c r="S77" s="121">
        <f>SUBTOTAL(109,S4:S72)</f>
        <v>131425000</v>
      </c>
      <c r="T77" s="175">
        <f>SUBTOTAL(109,T4:T52)</f>
        <v>150000</v>
      </c>
    </row>
    <row r="78" spans="1:21" s="31" customFormat="1" ht="16.2" thickBot="1" x14ac:dyDescent="0.35">
      <c r="A78" s="83"/>
      <c r="B78" s="84"/>
      <c r="C78" s="89"/>
      <c r="D78" s="85"/>
      <c r="E78" s="81">
        <f>SUBTOTAL(103,E4:E77)</f>
        <v>39</v>
      </c>
      <c r="F78" s="43">
        <f t="shared" ref="F78:O78" si="10">SUBTOTAL(103,F4:F77)</f>
        <v>41</v>
      </c>
      <c r="G78" s="40">
        <f t="shared" si="10"/>
        <v>44</v>
      </c>
      <c r="H78" s="43">
        <f t="shared" si="10"/>
        <v>44</v>
      </c>
      <c r="I78" s="40">
        <f t="shared" si="10"/>
        <v>16</v>
      </c>
      <c r="J78" s="40">
        <f t="shared" si="10"/>
        <v>40</v>
      </c>
      <c r="K78" s="155"/>
      <c r="L78" s="155"/>
      <c r="M78" s="155"/>
      <c r="N78" s="63">
        <f>SUBTOTAL(103,N4:N77)</f>
        <v>39</v>
      </c>
      <c r="O78" s="40">
        <f t="shared" si="10"/>
        <v>68</v>
      </c>
      <c r="P78" s="155">
        <f>SUBTOTAL(103,P4:P29)</f>
        <v>26</v>
      </c>
      <c r="Q78" s="81">
        <f>SUBTOTAL(103,Q4:Q29)</f>
        <v>26</v>
      </c>
      <c r="R78" s="40">
        <f>SUBTOTAL(103,R4:R77)</f>
        <v>68</v>
      </c>
      <c r="S78" s="63">
        <f>SUBTOTAL(103,S4:S62)</f>
        <v>59</v>
      </c>
      <c r="T78" s="165">
        <f>S77-T77</f>
        <v>131275000</v>
      </c>
      <c r="U78" s="208"/>
    </row>
    <row r="79" spans="1:21" x14ac:dyDescent="0.3">
      <c r="S79" s="76"/>
      <c r="T79" s="76"/>
    </row>
    <row r="80" spans="1:21" x14ac:dyDescent="0.3">
      <c r="S80" s="76"/>
    </row>
  </sheetData>
  <autoFilter ref="A3:U71"/>
  <mergeCells count="10">
    <mergeCell ref="Q2:Q3"/>
    <mergeCell ref="R2:R3"/>
    <mergeCell ref="S2:S3"/>
    <mergeCell ref="T2:T3"/>
    <mergeCell ref="A2:A3"/>
    <mergeCell ref="B2:B3"/>
    <mergeCell ref="C2:C3"/>
    <mergeCell ref="D2:D3"/>
    <mergeCell ref="O2:O3"/>
    <mergeCell ref="P2:P3"/>
  </mergeCells>
  <conditionalFormatting sqref="E78:N78">
    <cfRule type="expression" dxfId="11" priority="1">
      <formula>IF(E$3="cn",1,0)</formula>
    </cfRule>
  </conditionalFormatting>
  <pageMargins left="0.75" right="0.17" top="0.17" bottom="0.17" header="0.17" footer="0.17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80"/>
  <sheetViews>
    <sheetView topLeftCell="A61" workbookViewId="0">
      <selection sqref="A1:XFD1048576"/>
    </sheetView>
  </sheetViews>
  <sheetFormatPr defaultRowHeight="15.6" x14ac:dyDescent="0.3"/>
  <cols>
    <col min="1" max="1" width="3.88671875" style="62" customWidth="1"/>
    <col min="2" max="2" width="20.33203125" style="1" customWidth="1"/>
    <col min="3" max="3" width="27.21875" style="1" customWidth="1"/>
    <col min="4" max="4" width="7.77734375" style="3" customWidth="1"/>
    <col min="5" max="7" width="4.5546875" style="129" customWidth="1"/>
    <col min="8" max="14" width="4.5546875" style="176" customWidth="1"/>
    <col min="15" max="15" width="4.88671875" style="176" customWidth="1"/>
    <col min="16" max="16" width="6.21875" style="176" hidden="1" customWidth="1"/>
    <col min="17" max="17" width="6.6640625" style="176" hidden="1" customWidth="1"/>
    <col min="18" max="18" width="6.21875" style="176" customWidth="1"/>
    <col min="19" max="19" width="10.88671875" style="1" customWidth="1"/>
    <col min="20" max="20" width="14" style="1" customWidth="1"/>
    <col min="21" max="21" width="13.5546875" style="1" customWidth="1"/>
    <col min="22" max="22" width="22.21875" style="1" bestFit="1" customWidth="1"/>
    <col min="23" max="16384" width="8.88671875" style="1"/>
  </cols>
  <sheetData>
    <row r="1" spans="1:21" ht="23.4" customHeight="1" thickBot="1" x14ac:dyDescent="0.35">
      <c r="A1" s="154" t="s">
        <v>378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73"/>
      <c r="S1" s="173"/>
      <c r="T1" s="173"/>
      <c r="U1" s="173"/>
    </row>
    <row r="2" spans="1:21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21</v>
      </c>
      <c r="F2" s="23">
        <f t="shared" ref="F2:L2" si="0">E2+1</f>
        <v>22</v>
      </c>
      <c r="G2" s="23">
        <f t="shared" si="0"/>
        <v>23</v>
      </c>
      <c r="H2" s="23">
        <f t="shared" si="0"/>
        <v>24</v>
      </c>
      <c r="I2" s="23">
        <f t="shared" si="0"/>
        <v>25</v>
      </c>
      <c r="J2" s="23">
        <f t="shared" si="0"/>
        <v>26</v>
      </c>
      <c r="K2" s="23">
        <f t="shared" si="0"/>
        <v>27</v>
      </c>
      <c r="L2" s="23">
        <f t="shared" si="0"/>
        <v>28</v>
      </c>
      <c r="M2" s="23">
        <f t="shared" ref="M2" si="1">L2+1</f>
        <v>29</v>
      </c>
      <c r="N2" s="23">
        <f t="shared" ref="N2" si="2">M2+1</f>
        <v>30</v>
      </c>
      <c r="O2" s="214">
        <f t="shared" ref="O2" si="3">N2+1</f>
        <v>31</v>
      </c>
      <c r="P2" s="432" t="s">
        <v>6</v>
      </c>
      <c r="Q2" s="434" t="s">
        <v>7</v>
      </c>
      <c r="R2" s="426" t="s">
        <v>357</v>
      </c>
      <c r="S2" s="410" t="s">
        <v>30</v>
      </c>
      <c r="T2" s="428" t="s">
        <v>33</v>
      </c>
      <c r="U2" s="430" t="s">
        <v>127</v>
      </c>
    </row>
    <row r="3" spans="1:21" s="3" customFormat="1" ht="16.2" thickBot="1" x14ac:dyDescent="0.35">
      <c r="A3" s="415"/>
      <c r="B3" s="417"/>
      <c r="C3" s="417"/>
      <c r="D3" s="425"/>
      <c r="E3" s="125" t="s">
        <v>99</v>
      </c>
      <c r="F3" s="213" t="s">
        <v>94</v>
      </c>
      <c r="G3" s="213" t="s">
        <v>93</v>
      </c>
      <c r="H3" s="207" t="s">
        <v>95</v>
      </c>
      <c r="I3" s="213" t="s">
        <v>97</v>
      </c>
      <c r="J3" s="213" t="s">
        <v>96</v>
      </c>
      <c r="K3" s="213" t="s">
        <v>98</v>
      </c>
      <c r="L3" s="207" t="s">
        <v>99</v>
      </c>
      <c r="M3" s="213" t="s">
        <v>93</v>
      </c>
      <c r="N3" s="213" t="s">
        <v>94</v>
      </c>
      <c r="O3" s="213" t="s">
        <v>95</v>
      </c>
      <c r="P3" s="433"/>
      <c r="Q3" s="435"/>
      <c r="R3" s="427"/>
      <c r="S3" s="411"/>
      <c r="T3" s="429"/>
      <c r="U3" s="431"/>
    </row>
    <row r="4" spans="1:21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134" t="s">
        <v>9</v>
      </c>
      <c r="F4" s="135" t="s">
        <v>9</v>
      </c>
      <c r="G4" s="135" t="s">
        <v>9</v>
      </c>
      <c r="H4" s="136" t="s">
        <v>9</v>
      </c>
      <c r="I4" s="135" t="s">
        <v>9</v>
      </c>
      <c r="J4" s="135" t="s">
        <v>9</v>
      </c>
      <c r="K4" s="209" t="s">
        <v>9</v>
      </c>
      <c r="L4" s="209" t="s">
        <v>9</v>
      </c>
      <c r="M4" s="209" t="s">
        <v>9</v>
      </c>
      <c r="N4" s="209" t="s">
        <v>9</v>
      </c>
      <c r="O4" s="209" t="s">
        <v>9</v>
      </c>
      <c r="P4" s="240">
        <f>COUNTIF(E4:O4,"X")</f>
        <v>11</v>
      </c>
      <c r="Q4" s="241">
        <f>COUNTIF(E4:I4,"X/2")/2</f>
        <v>0</v>
      </c>
      <c r="R4" s="236">
        <f t="shared" ref="R4:R65" si="4">SUM(P4:Q4)</f>
        <v>11</v>
      </c>
      <c r="S4" s="124">
        <v>550000</v>
      </c>
      <c r="T4" s="88">
        <f t="shared" ref="T4:T65" si="5">R4*S4</f>
        <v>6050000</v>
      </c>
      <c r="U4" s="250">
        <v>9000000</v>
      </c>
    </row>
    <row r="5" spans="1:21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/>
      <c r="G5" s="21" t="s">
        <v>9</v>
      </c>
      <c r="H5" s="35" t="s">
        <v>9</v>
      </c>
      <c r="I5" s="21" t="s">
        <v>9</v>
      </c>
      <c r="J5" s="21" t="s">
        <v>9</v>
      </c>
      <c r="K5" s="210" t="s">
        <v>9</v>
      </c>
      <c r="L5" s="210" t="s">
        <v>9</v>
      </c>
      <c r="M5" s="210"/>
      <c r="N5" s="210" t="s">
        <v>9</v>
      </c>
      <c r="O5" s="210" t="s">
        <v>9</v>
      </c>
      <c r="P5" s="242">
        <f>COUNTIF(E5:O5,"X")</f>
        <v>8</v>
      </c>
      <c r="Q5" s="243">
        <f>COUNTIF(E5:O5,"X/2")/2</f>
        <v>0</v>
      </c>
      <c r="R5" s="237">
        <f t="shared" si="4"/>
        <v>8</v>
      </c>
      <c r="S5" s="52">
        <v>380000</v>
      </c>
      <c r="T5" s="77">
        <f t="shared" si="5"/>
        <v>3040000</v>
      </c>
      <c r="U5" s="251"/>
    </row>
    <row r="6" spans="1:21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 t="s">
        <v>9</v>
      </c>
      <c r="F6" s="21"/>
      <c r="G6" s="21" t="s">
        <v>9</v>
      </c>
      <c r="H6" s="35" t="s">
        <v>9</v>
      </c>
      <c r="I6" s="21" t="s">
        <v>9</v>
      </c>
      <c r="J6" s="21" t="s">
        <v>9</v>
      </c>
      <c r="K6" s="210" t="s">
        <v>9</v>
      </c>
      <c r="L6" s="210" t="s">
        <v>9</v>
      </c>
      <c r="M6" s="210"/>
      <c r="N6" s="210" t="s">
        <v>9</v>
      </c>
      <c r="O6" s="210" t="s">
        <v>9</v>
      </c>
      <c r="P6" s="242">
        <f t="shared" ref="P6:P67" si="6">COUNTIF(E6:O6,"X")</f>
        <v>9</v>
      </c>
      <c r="Q6" s="243">
        <f t="shared" ref="Q6:Q67" si="7">COUNTIF(E6:O6,"X/2")/2</f>
        <v>0</v>
      </c>
      <c r="R6" s="237">
        <f t="shared" si="4"/>
        <v>9</v>
      </c>
      <c r="S6" s="52">
        <v>370000</v>
      </c>
      <c r="T6" s="77">
        <f t="shared" si="5"/>
        <v>3330000</v>
      </c>
      <c r="U6" s="251"/>
    </row>
    <row r="7" spans="1:21" s="31" customFormat="1" x14ac:dyDescent="0.3">
      <c r="A7" s="61">
        <f t="shared" ref="A7:A69" si="8">A6+1</f>
        <v>4</v>
      </c>
      <c r="B7" s="28" t="s">
        <v>37</v>
      </c>
      <c r="C7" s="48" t="s">
        <v>60</v>
      </c>
      <c r="D7" s="202" t="s">
        <v>4</v>
      </c>
      <c r="E7" s="41" t="s">
        <v>9</v>
      </c>
      <c r="F7" s="21"/>
      <c r="G7" s="21" t="s">
        <v>9</v>
      </c>
      <c r="H7" s="35" t="s">
        <v>9</v>
      </c>
      <c r="I7" s="21" t="s">
        <v>9</v>
      </c>
      <c r="J7" s="21" t="s">
        <v>9</v>
      </c>
      <c r="K7" s="210" t="s">
        <v>9</v>
      </c>
      <c r="L7" s="210" t="s">
        <v>9</v>
      </c>
      <c r="M7" s="210"/>
      <c r="N7" s="210"/>
      <c r="O7" s="210" t="s">
        <v>8</v>
      </c>
      <c r="P7" s="242">
        <f t="shared" si="6"/>
        <v>7</v>
      </c>
      <c r="Q7" s="243">
        <f t="shared" si="7"/>
        <v>0.5</v>
      </c>
      <c r="R7" s="237">
        <f t="shared" si="4"/>
        <v>7.5</v>
      </c>
      <c r="S7" s="52">
        <v>370000</v>
      </c>
      <c r="T7" s="77">
        <f t="shared" si="5"/>
        <v>2775000</v>
      </c>
      <c r="U7" s="250"/>
    </row>
    <row r="8" spans="1:21" s="31" customFormat="1" x14ac:dyDescent="0.3">
      <c r="A8" s="61">
        <f t="shared" si="8"/>
        <v>5</v>
      </c>
      <c r="B8" s="28" t="s">
        <v>38</v>
      </c>
      <c r="C8" s="48" t="s">
        <v>80</v>
      </c>
      <c r="D8" s="202" t="s">
        <v>17</v>
      </c>
      <c r="E8" s="41" t="s">
        <v>9</v>
      </c>
      <c r="F8" s="21" t="s">
        <v>9</v>
      </c>
      <c r="G8" s="21" t="s">
        <v>9</v>
      </c>
      <c r="H8" s="35" t="s">
        <v>9</v>
      </c>
      <c r="I8" s="21" t="s">
        <v>9</v>
      </c>
      <c r="J8" s="21" t="s">
        <v>9</v>
      </c>
      <c r="K8" s="210"/>
      <c r="L8" s="210"/>
      <c r="M8" s="210" t="s">
        <v>9</v>
      </c>
      <c r="N8" s="210" t="s">
        <v>8</v>
      </c>
      <c r="O8" s="210" t="s">
        <v>9</v>
      </c>
      <c r="P8" s="242">
        <f t="shared" si="6"/>
        <v>8</v>
      </c>
      <c r="Q8" s="243">
        <f t="shared" si="7"/>
        <v>0.5</v>
      </c>
      <c r="R8" s="237">
        <f t="shared" si="4"/>
        <v>8.5</v>
      </c>
      <c r="S8" s="52">
        <v>350000</v>
      </c>
      <c r="T8" s="77">
        <f t="shared" si="5"/>
        <v>2975000</v>
      </c>
      <c r="U8" s="251"/>
    </row>
    <row r="9" spans="1:21" s="31" customFormat="1" x14ac:dyDescent="0.3">
      <c r="A9" s="61">
        <f t="shared" si="8"/>
        <v>6</v>
      </c>
      <c r="B9" s="28" t="s">
        <v>145</v>
      </c>
      <c r="C9" s="48" t="s">
        <v>60</v>
      </c>
      <c r="D9" s="202" t="s">
        <v>5</v>
      </c>
      <c r="E9" s="41" t="s">
        <v>9</v>
      </c>
      <c r="F9" s="21"/>
      <c r="G9" s="21" t="s">
        <v>9</v>
      </c>
      <c r="H9" s="35" t="s">
        <v>9</v>
      </c>
      <c r="I9" s="21" t="s">
        <v>9</v>
      </c>
      <c r="J9" s="21" t="s">
        <v>9</v>
      </c>
      <c r="K9" s="210" t="s">
        <v>9</v>
      </c>
      <c r="L9" s="210" t="s">
        <v>9</v>
      </c>
      <c r="M9" s="210"/>
      <c r="N9" s="210" t="s">
        <v>9</v>
      </c>
      <c r="O9" s="210" t="s">
        <v>9</v>
      </c>
      <c r="P9" s="242">
        <f t="shared" si="6"/>
        <v>9</v>
      </c>
      <c r="Q9" s="243">
        <f t="shared" si="7"/>
        <v>0</v>
      </c>
      <c r="R9" s="237">
        <f t="shared" si="4"/>
        <v>9</v>
      </c>
      <c r="S9" s="52">
        <v>320000</v>
      </c>
      <c r="T9" s="77">
        <f t="shared" si="5"/>
        <v>2880000</v>
      </c>
      <c r="U9" s="251"/>
    </row>
    <row r="10" spans="1:21" s="31" customFormat="1" x14ac:dyDescent="0.3">
      <c r="A10" s="61">
        <f t="shared" si="8"/>
        <v>7</v>
      </c>
      <c r="B10" s="28" t="s">
        <v>34</v>
      </c>
      <c r="C10" s="48" t="s">
        <v>80</v>
      </c>
      <c r="D10" s="202" t="s">
        <v>5</v>
      </c>
      <c r="E10" s="41" t="s">
        <v>9</v>
      </c>
      <c r="F10" s="21"/>
      <c r="G10" s="21" t="s">
        <v>9</v>
      </c>
      <c r="H10" s="35" t="s">
        <v>9</v>
      </c>
      <c r="I10" s="21" t="s">
        <v>9</v>
      </c>
      <c r="J10" s="21" t="s">
        <v>9</v>
      </c>
      <c r="K10" s="210" t="s">
        <v>9</v>
      </c>
      <c r="L10" s="210" t="s">
        <v>9</v>
      </c>
      <c r="M10" s="210"/>
      <c r="N10" s="210" t="s">
        <v>9</v>
      </c>
      <c r="O10" s="210" t="s">
        <v>9</v>
      </c>
      <c r="P10" s="242">
        <f t="shared" si="6"/>
        <v>9</v>
      </c>
      <c r="Q10" s="243">
        <f t="shared" si="7"/>
        <v>0</v>
      </c>
      <c r="R10" s="237">
        <f t="shared" si="4"/>
        <v>9</v>
      </c>
      <c r="S10" s="52">
        <v>300000</v>
      </c>
      <c r="T10" s="77">
        <f t="shared" si="5"/>
        <v>2700000</v>
      </c>
      <c r="U10" s="252"/>
    </row>
    <row r="11" spans="1:21" s="31" customFormat="1" x14ac:dyDescent="0.3">
      <c r="A11" s="61">
        <f t="shared" si="8"/>
        <v>8</v>
      </c>
      <c r="B11" s="28" t="s">
        <v>46</v>
      </c>
      <c r="C11" s="48" t="s">
        <v>60</v>
      </c>
      <c r="D11" s="202" t="s">
        <v>5</v>
      </c>
      <c r="E11" s="41" t="s">
        <v>9</v>
      </c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10" t="s">
        <v>9</v>
      </c>
      <c r="N11" s="210" t="s">
        <v>9</v>
      </c>
      <c r="O11" s="210" t="s">
        <v>9</v>
      </c>
      <c r="P11" s="242">
        <f t="shared" si="6"/>
        <v>11</v>
      </c>
      <c r="Q11" s="243">
        <f t="shared" si="7"/>
        <v>0</v>
      </c>
      <c r="R11" s="237">
        <f t="shared" si="4"/>
        <v>11</v>
      </c>
      <c r="S11" s="52">
        <v>360000</v>
      </c>
      <c r="T11" s="77">
        <f t="shared" si="5"/>
        <v>3960000</v>
      </c>
      <c r="U11" s="251"/>
    </row>
    <row r="12" spans="1:21" s="31" customFormat="1" x14ac:dyDescent="0.3">
      <c r="A12" s="61">
        <f t="shared" si="8"/>
        <v>9</v>
      </c>
      <c r="B12" s="28" t="s">
        <v>42</v>
      </c>
      <c r="C12" s="48" t="s">
        <v>80</v>
      </c>
      <c r="D12" s="202" t="s">
        <v>4</v>
      </c>
      <c r="E12" s="41" t="s">
        <v>9</v>
      </c>
      <c r="F12" s="21" t="s">
        <v>9</v>
      </c>
      <c r="G12" s="21" t="s">
        <v>9</v>
      </c>
      <c r="H12" s="35" t="s">
        <v>9</v>
      </c>
      <c r="I12" s="21" t="s">
        <v>9</v>
      </c>
      <c r="J12" s="21" t="s">
        <v>9</v>
      </c>
      <c r="K12" s="210" t="s">
        <v>9</v>
      </c>
      <c r="L12" s="210"/>
      <c r="M12" s="210"/>
      <c r="N12" s="210"/>
      <c r="O12" s="210"/>
      <c r="P12" s="242">
        <f t="shared" si="6"/>
        <v>7</v>
      </c>
      <c r="Q12" s="243">
        <f t="shared" si="7"/>
        <v>0</v>
      </c>
      <c r="R12" s="237">
        <f t="shared" si="4"/>
        <v>7</v>
      </c>
      <c r="S12" s="52">
        <v>400000</v>
      </c>
      <c r="T12" s="77">
        <f t="shared" si="5"/>
        <v>2800000</v>
      </c>
      <c r="U12" s="251"/>
    </row>
    <row r="13" spans="1:21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 t="s">
        <v>9</v>
      </c>
      <c r="F13" s="21"/>
      <c r="G13" s="21" t="s">
        <v>9</v>
      </c>
      <c r="H13" s="35" t="s">
        <v>9</v>
      </c>
      <c r="I13" s="21" t="s">
        <v>9</v>
      </c>
      <c r="J13" s="21" t="s">
        <v>9</v>
      </c>
      <c r="K13" s="210"/>
      <c r="L13" s="210"/>
      <c r="M13" s="210"/>
      <c r="N13" s="210"/>
      <c r="O13" s="210"/>
      <c r="P13" s="242">
        <f t="shared" si="6"/>
        <v>5</v>
      </c>
      <c r="Q13" s="243">
        <f t="shared" si="7"/>
        <v>0</v>
      </c>
      <c r="R13" s="237">
        <f t="shared" si="4"/>
        <v>5</v>
      </c>
      <c r="S13" s="52">
        <v>280000</v>
      </c>
      <c r="T13" s="77">
        <f t="shared" si="5"/>
        <v>1400000</v>
      </c>
      <c r="U13" s="251"/>
    </row>
    <row r="14" spans="1:21" s="31" customFormat="1" x14ac:dyDescent="0.3">
      <c r="A14" s="61">
        <f t="shared" si="8"/>
        <v>11</v>
      </c>
      <c r="B14" s="28" t="s">
        <v>41</v>
      </c>
      <c r="C14" s="48" t="s">
        <v>80</v>
      </c>
      <c r="D14" s="202" t="s">
        <v>4</v>
      </c>
      <c r="E14" s="41" t="s">
        <v>9</v>
      </c>
      <c r="F14" s="21" t="s">
        <v>9</v>
      </c>
      <c r="G14" s="21" t="s">
        <v>9</v>
      </c>
      <c r="H14" s="35" t="s">
        <v>9</v>
      </c>
      <c r="I14" s="21" t="s">
        <v>9</v>
      </c>
      <c r="J14" s="21" t="s">
        <v>9</v>
      </c>
      <c r="K14" s="210" t="s">
        <v>9</v>
      </c>
      <c r="L14" s="210"/>
      <c r="M14" s="210" t="s">
        <v>9</v>
      </c>
      <c r="N14" s="210" t="s">
        <v>9</v>
      </c>
      <c r="O14" s="210"/>
      <c r="P14" s="242">
        <f t="shared" si="6"/>
        <v>9</v>
      </c>
      <c r="Q14" s="243">
        <f t="shared" si="7"/>
        <v>0</v>
      </c>
      <c r="R14" s="237">
        <f t="shared" si="4"/>
        <v>9</v>
      </c>
      <c r="S14" s="52">
        <v>400000</v>
      </c>
      <c r="T14" s="77">
        <f t="shared" si="5"/>
        <v>3600000</v>
      </c>
      <c r="U14" s="251"/>
    </row>
    <row r="15" spans="1:21" s="31" customFormat="1" x14ac:dyDescent="0.3">
      <c r="A15" s="61">
        <f t="shared" si="8"/>
        <v>12</v>
      </c>
      <c r="B15" s="28" t="s">
        <v>47</v>
      </c>
      <c r="C15" s="48"/>
      <c r="D15" s="202" t="s">
        <v>4</v>
      </c>
      <c r="E15" s="41" t="s">
        <v>9</v>
      </c>
      <c r="F15" s="21"/>
      <c r="G15" s="21" t="s">
        <v>9</v>
      </c>
      <c r="H15" s="35" t="s">
        <v>9</v>
      </c>
      <c r="I15" s="21" t="s">
        <v>9</v>
      </c>
      <c r="J15" s="21" t="s">
        <v>9</v>
      </c>
      <c r="K15" s="210" t="s">
        <v>9</v>
      </c>
      <c r="L15" s="210" t="s">
        <v>9</v>
      </c>
      <c r="M15" s="210"/>
      <c r="N15" s="210" t="s">
        <v>9</v>
      </c>
      <c r="O15" s="210" t="s">
        <v>9</v>
      </c>
      <c r="P15" s="242">
        <f t="shared" si="6"/>
        <v>9</v>
      </c>
      <c r="Q15" s="243">
        <f t="shared" si="7"/>
        <v>0</v>
      </c>
      <c r="R15" s="237">
        <f t="shared" si="4"/>
        <v>9</v>
      </c>
      <c r="S15" s="52">
        <v>390000</v>
      </c>
      <c r="T15" s="77">
        <f t="shared" si="5"/>
        <v>3510000</v>
      </c>
      <c r="U15" s="251"/>
    </row>
    <row r="16" spans="1:21" s="31" customFormat="1" x14ac:dyDescent="0.3">
      <c r="A16" s="61">
        <f t="shared" si="8"/>
        <v>13</v>
      </c>
      <c r="B16" s="28" t="s">
        <v>61</v>
      </c>
      <c r="C16" s="48" t="s">
        <v>60</v>
      </c>
      <c r="D16" s="203" t="s">
        <v>4</v>
      </c>
      <c r="E16" s="41" t="s">
        <v>9</v>
      </c>
      <c r="F16" s="21"/>
      <c r="G16" s="21" t="s">
        <v>9</v>
      </c>
      <c r="H16" s="35" t="s">
        <v>9</v>
      </c>
      <c r="I16" s="21" t="s">
        <v>9</v>
      </c>
      <c r="J16" s="21" t="s">
        <v>9</v>
      </c>
      <c r="K16" s="210" t="s">
        <v>9</v>
      </c>
      <c r="L16" s="210" t="s">
        <v>9</v>
      </c>
      <c r="M16" s="210"/>
      <c r="N16" s="210" t="s">
        <v>9</v>
      </c>
      <c r="O16" s="210" t="s">
        <v>9</v>
      </c>
      <c r="P16" s="242">
        <f t="shared" si="6"/>
        <v>9</v>
      </c>
      <c r="Q16" s="243">
        <f t="shared" si="7"/>
        <v>0</v>
      </c>
      <c r="R16" s="237">
        <f t="shared" si="4"/>
        <v>9</v>
      </c>
      <c r="S16" s="53">
        <v>370000</v>
      </c>
      <c r="T16" s="77">
        <f t="shared" si="5"/>
        <v>3330000</v>
      </c>
      <c r="U16" s="251"/>
    </row>
    <row r="17" spans="1:21" s="31" customFormat="1" x14ac:dyDescent="0.3">
      <c r="A17" s="61">
        <f t="shared" si="8"/>
        <v>14</v>
      </c>
      <c r="B17" s="28" t="s">
        <v>62</v>
      </c>
      <c r="C17" s="48"/>
      <c r="D17" s="203" t="s">
        <v>4</v>
      </c>
      <c r="E17" s="41" t="s">
        <v>9</v>
      </c>
      <c r="F17" s="21" t="s">
        <v>9</v>
      </c>
      <c r="G17" s="21" t="s">
        <v>9</v>
      </c>
      <c r="H17" s="35" t="s">
        <v>9</v>
      </c>
      <c r="I17" s="21" t="s">
        <v>9</v>
      </c>
      <c r="J17" s="21" t="s">
        <v>9</v>
      </c>
      <c r="K17" s="210" t="s">
        <v>9</v>
      </c>
      <c r="L17" s="210"/>
      <c r="M17" s="210"/>
      <c r="N17" s="210" t="s">
        <v>9</v>
      </c>
      <c r="O17" s="210"/>
      <c r="P17" s="242">
        <f t="shared" si="6"/>
        <v>8</v>
      </c>
      <c r="Q17" s="243">
        <f t="shared" si="7"/>
        <v>0</v>
      </c>
      <c r="R17" s="237">
        <f t="shared" si="4"/>
        <v>8</v>
      </c>
      <c r="S17" s="53">
        <v>360000</v>
      </c>
      <c r="T17" s="77">
        <f t="shared" si="5"/>
        <v>2880000</v>
      </c>
      <c r="U17" s="251"/>
    </row>
    <row r="18" spans="1:21" s="31" customFormat="1" x14ac:dyDescent="0.3">
      <c r="A18" s="61">
        <f t="shared" si="8"/>
        <v>15</v>
      </c>
      <c r="B18" s="28" t="s">
        <v>63</v>
      </c>
      <c r="C18" s="48" t="s">
        <v>60</v>
      </c>
      <c r="D18" s="203" t="s">
        <v>4</v>
      </c>
      <c r="E18" s="41" t="s">
        <v>9</v>
      </c>
      <c r="F18" s="21" t="s">
        <v>9</v>
      </c>
      <c r="G18" s="21" t="s">
        <v>9</v>
      </c>
      <c r="H18" s="35" t="s">
        <v>9</v>
      </c>
      <c r="I18" s="21" t="s">
        <v>9</v>
      </c>
      <c r="J18" s="21" t="s">
        <v>9</v>
      </c>
      <c r="K18" s="210" t="s">
        <v>9</v>
      </c>
      <c r="L18" s="210" t="s">
        <v>9</v>
      </c>
      <c r="M18" s="210"/>
      <c r="N18" s="210" t="s">
        <v>9</v>
      </c>
      <c r="O18" s="210" t="s">
        <v>9</v>
      </c>
      <c r="P18" s="242">
        <f t="shared" si="6"/>
        <v>10</v>
      </c>
      <c r="Q18" s="243">
        <f t="shared" si="7"/>
        <v>0</v>
      </c>
      <c r="R18" s="237">
        <f t="shared" si="4"/>
        <v>10</v>
      </c>
      <c r="S18" s="53">
        <v>380000</v>
      </c>
      <c r="T18" s="77">
        <f t="shared" si="5"/>
        <v>3800000</v>
      </c>
      <c r="U18" s="251"/>
    </row>
    <row r="19" spans="1:21" s="31" customFormat="1" x14ac:dyDescent="0.3">
      <c r="A19" s="61">
        <f t="shared" si="8"/>
        <v>16</v>
      </c>
      <c r="B19" s="28" t="s">
        <v>59</v>
      </c>
      <c r="C19" s="48" t="s">
        <v>60</v>
      </c>
      <c r="D19" s="203" t="s">
        <v>5</v>
      </c>
      <c r="E19" s="41" t="s">
        <v>9</v>
      </c>
      <c r="F19" s="21"/>
      <c r="G19" s="21" t="s">
        <v>9</v>
      </c>
      <c r="H19" s="35" t="s">
        <v>9</v>
      </c>
      <c r="I19" s="21" t="s">
        <v>9</v>
      </c>
      <c r="J19" s="21" t="s">
        <v>9</v>
      </c>
      <c r="K19" s="210" t="s">
        <v>9</v>
      </c>
      <c r="L19" s="210" t="s">
        <v>9</v>
      </c>
      <c r="M19" s="210"/>
      <c r="N19" s="210" t="s">
        <v>9</v>
      </c>
      <c r="O19" s="210" t="s">
        <v>9</v>
      </c>
      <c r="P19" s="242">
        <f t="shared" si="6"/>
        <v>9</v>
      </c>
      <c r="Q19" s="243">
        <f t="shared" si="7"/>
        <v>0</v>
      </c>
      <c r="R19" s="237">
        <f t="shared" si="4"/>
        <v>9</v>
      </c>
      <c r="S19" s="53">
        <v>270000</v>
      </c>
      <c r="T19" s="77">
        <f t="shared" si="5"/>
        <v>2430000</v>
      </c>
      <c r="U19" s="251"/>
    </row>
    <row r="20" spans="1:21" s="31" customFormat="1" x14ac:dyDescent="0.3">
      <c r="A20" s="61">
        <f t="shared" si="8"/>
        <v>17</v>
      </c>
      <c r="B20" s="28" t="s">
        <v>64</v>
      </c>
      <c r="C20" s="48" t="s">
        <v>60</v>
      </c>
      <c r="D20" s="203" t="s">
        <v>4</v>
      </c>
      <c r="E20" s="41" t="s">
        <v>9</v>
      </c>
      <c r="F20" s="21"/>
      <c r="G20" s="21" t="s">
        <v>9</v>
      </c>
      <c r="H20" s="35" t="s">
        <v>9</v>
      </c>
      <c r="I20" s="21" t="s">
        <v>9</v>
      </c>
      <c r="J20" s="21" t="s">
        <v>9</v>
      </c>
      <c r="K20" s="210" t="s">
        <v>9</v>
      </c>
      <c r="L20" s="210" t="s">
        <v>9</v>
      </c>
      <c r="M20" s="210"/>
      <c r="N20" s="210" t="s">
        <v>9</v>
      </c>
      <c r="O20" s="210" t="s">
        <v>9</v>
      </c>
      <c r="P20" s="242">
        <f t="shared" si="6"/>
        <v>9</v>
      </c>
      <c r="Q20" s="243">
        <f t="shared" si="7"/>
        <v>0</v>
      </c>
      <c r="R20" s="237">
        <f t="shared" si="4"/>
        <v>9</v>
      </c>
      <c r="S20" s="53">
        <v>380000</v>
      </c>
      <c r="T20" s="77">
        <f t="shared" si="5"/>
        <v>3420000</v>
      </c>
      <c r="U20" s="251"/>
    </row>
    <row r="21" spans="1:21" s="55" customFormat="1" x14ac:dyDescent="0.3">
      <c r="A21" s="61">
        <f t="shared" si="8"/>
        <v>18</v>
      </c>
      <c r="B21" s="158" t="s">
        <v>65</v>
      </c>
      <c r="C21" s="29" t="s">
        <v>60</v>
      </c>
      <c r="D21" s="203" t="s">
        <v>4</v>
      </c>
      <c r="E21" s="41"/>
      <c r="F21" s="21"/>
      <c r="G21" s="21" t="s">
        <v>9</v>
      </c>
      <c r="H21" s="35" t="s">
        <v>9</v>
      </c>
      <c r="I21" s="21" t="s">
        <v>9</v>
      </c>
      <c r="J21" s="21" t="s">
        <v>9</v>
      </c>
      <c r="K21" s="210" t="s">
        <v>9</v>
      </c>
      <c r="L21" s="210" t="s">
        <v>9</v>
      </c>
      <c r="M21" s="210"/>
      <c r="N21" s="210"/>
      <c r="O21" s="210"/>
      <c r="P21" s="242">
        <f t="shared" si="6"/>
        <v>6</v>
      </c>
      <c r="Q21" s="243">
        <f t="shared" si="7"/>
        <v>0</v>
      </c>
      <c r="R21" s="237">
        <f t="shared" si="4"/>
        <v>6</v>
      </c>
      <c r="S21" s="53">
        <v>370000</v>
      </c>
      <c r="T21" s="77">
        <f t="shared" si="5"/>
        <v>2220000</v>
      </c>
      <c r="U21" s="252"/>
    </row>
    <row r="22" spans="1:21" s="31" customFormat="1" x14ac:dyDescent="0.3">
      <c r="A22" s="61">
        <f t="shared" si="8"/>
        <v>19</v>
      </c>
      <c r="B22" s="48" t="s">
        <v>126</v>
      </c>
      <c r="C22" s="48"/>
      <c r="D22" s="204" t="s">
        <v>5</v>
      </c>
      <c r="E22" s="41"/>
      <c r="F22" s="21"/>
      <c r="G22" s="21"/>
      <c r="H22" s="35"/>
      <c r="I22" s="21"/>
      <c r="J22" s="21"/>
      <c r="K22" s="210"/>
      <c r="L22" s="210"/>
      <c r="M22" s="210"/>
      <c r="N22" s="210"/>
      <c r="O22" s="210"/>
      <c r="P22" s="242">
        <f t="shared" si="6"/>
        <v>0</v>
      </c>
      <c r="Q22" s="243">
        <f t="shared" si="7"/>
        <v>0</v>
      </c>
      <c r="R22" s="237">
        <f t="shared" si="4"/>
        <v>0</v>
      </c>
      <c r="S22" s="52">
        <v>280000</v>
      </c>
      <c r="T22" s="77">
        <f t="shared" si="5"/>
        <v>0</v>
      </c>
      <c r="U22" s="251"/>
    </row>
    <row r="23" spans="1:21" s="31" customFormat="1" x14ac:dyDescent="0.3">
      <c r="A23" s="61">
        <f t="shared" si="8"/>
        <v>20</v>
      </c>
      <c r="B23" s="116" t="s">
        <v>143</v>
      </c>
      <c r="C23" s="116"/>
      <c r="D23" s="205" t="s">
        <v>4</v>
      </c>
      <c r="E23" s="41" t="s">
        <v>9</v>
      </c>
      <c r="F23" s="21" t="s">
        <v>9</v>
      </c>
      <c r="G23" s="21" t="s">
        <v>9</v>
      </c>
      <c r="H23" s="35" t="s">
        <v>9</v>
      </c>
      <c r="I23" s="21" t="s">
        <v>9</v>
      </c>
      <c r="J23" s="21" t="s">
        <v>9</v>
      </c>
      <c r="K23" s="210" t="s">
        <v>9</v>
      </c>
      <c r="L23" s="210" t="s">
        <v>9</v>
      </c>
      <c r="M23" s="210" t="s">
        <v>9</v>
      </c>
      <c r="N23" s="210" t="s">
        <v>9</v>
      </c>
      <c r="O23" s="210" t="s">
        <v>8</v>
      </c>
      <c r="P23" s="242">
        <f t="shared" si="6"/>
        <v>10</v>
      </c>
      <c r="Q23" s="243">
        <f t="shared" si="7"/>
        <v>0.5</v>
      </c>
      <c r="R23" s="237">
        <f t="shared" si="4"/>
        <v>10.5</v>
      </c>
      <c r="S23" s="53">
        <v>380000</v>
      </c>
      <c r="T23" s="77">
        <f t="shared" si="5"/>
        <v>3990000</v>
      </c>
      <c r="U23" s="253"/>
    </row>
    <row r="24" spans="1:21" s="31" customFormat="1" x14ac:dyDescent="0.3">
      <c r="A24" s="61">
        <f t="shared" si="8"/>
        <v>21</v>
      </c>
      <c r="B24" s="116" t="s">
        <v>144</v>
      </c>
      <c r="C24" s="116"/>
      <c r="D24" s="205" t="s">
        <v>4</v>
      </c>
      <c r="E24" s="41" t="s">
        <v>9</v>
      </c>
      <c r="F24" s="21" t="s">
        <v>9</v>
      </c>
      <c r="G24" s="21" t="s">
        <v>9</v>
      </c>
      <c r="H24" s="35" t="s">
        <v>9</v>
      </c>
      <c r="I24" s="21" t="s">
        <v>9</v>
      </c>
      <c r="J24" s="21" t="s">
        <v>9</v>
      </c>
      <c r="K24" s="210" t="s">
        <v>9</v>
      </c>
      <c r="L24" s="210" t="s">
        <v>9</v>
      </c>
      <c r="M24" s="210" t="s">
        <v>9</v>
      </c>
      <c r="N24" s="210" t="s">
        <v>9</v>
      </c>
      <c r="O24" s="210" t="s">
        <v>8</v>
      </c>
      <c r="P24" s="242">
        <f t="shared" si="6"/>
        <v>10</v>
      </c>
      <c r="Q24" s="243">
        <f t="shared" si="7"/>
        <v>0.5</v>
      </c>
      <c r="R24" s="237">
        <f t="shared" si="4"/>
        <v>10.5</v>
      </c>
      <c r="S24" s="53">
        <v>280000</v>
      </c>
      <c r="T24" s="77">
        <f t="shared" si="5"/>
        <v>2940000</v>
      </c>
      <c r="U24" s="253"/>
    </row>
    <row r="25" spans="1:21" s="31" customFormat="1" x14ac:dyDescent="0.3">
      <c r="A25" s="61">
        <f t="shared" si="8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10"/>
      <c r="O25" s="210"/>
      <c r="P25" s="242">
        <f t="shared" si="6"/>
        <v>0</v>
      </c>
      <c r="Q25" s="243">
        <f t="shared" si="7"/>
        <v>0</v>
      </c>
      <c r="R25" s="237">
        <f t="shared" si="4"/>
        <v>0</v>
      </c>
      <c r="S25" s="53">
        <v>270000</v>
      </c>
      <c r="T25" s="77">
        <f t="shared" si="5"/>
        <v>0</v>
      </c>
      <c r="U25" s="253"/>
    </row>
    <row r="26" spans="1:21" s="31" customFormat="1" x14ac:dyDescent="0.3">
      <c r="A26" s="61">
        <f t="shared" si="8"/>
        <v>23</v>
      </c>
      <c r="B26" s="116" t="s">
        <v>171</v>
      </c>
      <c r="C26" s="116"/>
      <c r="D26" s="205" t="s">
        <v>5</v>
      </c>
      <c r="E26" s="127" t="s">
        <v>9</v>
      </c>
      <c r="F26" s="21" t="s">
        <v>9</v>
      </c>
      <c r="G26" s="21" t="s">
        <v>9</v>
      </c>
      <c r="H26" s="35" t="s">
        <v>9</v>
      </c>
      <c r="I26" s="21"/>
      <c r="J26" s="21"/>
      <c r="K26" s="210"/>
      <c r="L26" s="210" t="s">
        <v>9</v>
      </c>
      <c r="M26" s="210" t="s">
        <v>9</v>
      </c>
      <c r="N26" s="210" t="s">
        <v>9</v>
      </c>
      <c r="O26" s="210" t="s">
        <v>9</v>
      </c>
      <c r="P26" s="242">
        <f t="shared" si="6"/>
        <v>8</v>
      </c>
      <c r="Q26" s="243">
        <f t="shared" si="7"/>
        <v>0</v>
      </c>
      <c r="R26" s="238">
        <f t="shared" si="4"/>
        <v>8</v>
      </c>
      <c r="S26" s="53">
        <v>280000</v>
      </c>
      <c r="T26" s="54">
        <f t="shared" si="5"/>
        <v>2240000</v>
      </c>
      <c r="U26" s="253"/>
    </row>
    <row r="27" spans="1:21" s="31" customFormat="1" x14ac:dyDescent="0.3">
      <c r="A27" s="61">
        <f t="shared" si="8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211"/>
      <c r="O27" s="211"/>
      <c r="P27" s="242">
        <f t="shared" si="6"/>
        <v>0</v>
      </c>
      <c r="Q27" s="243">
        <f t="shared" si="7"/>
        <v>0</v>
      </c>
      <c r="R27" s="238">
        <f t="shared" si="4"/>
        <v>0</v>
      </c>
      <c r="S27" s="53">
        <v>370000</v>
      </c>
      <c r="T27" s="54">
        <f t="shared" si="5"/>
        <v>0</v>
      </c>
      <c r="U27" s="253"/>
    </row>
    <row r="28" spans="1:21" s="31" customFormat="1" x14ac:dyDescent="0.3">
      <c r="A28" s="61">
        <v>25</v>
      </c>
      <c r="B28" s="116" t="s">
        <v>194</v>
      </c>
      <c r="C28" s="116"/>
      <c r="D28" s="205" t="s">
        <v>4</v>
      </c>
      <c r="E28" s="127" t="s">
        <v>9</v>
      </c>
      <c r="F28" s="32" t="s">
        <v>9</v>
      </c>
      <c r="G28" s="32" t="s">
        <v>9</v>
      </c>
      <c r="H28" s="36" t="s">
        <v>9</v>
      </c>
      <c r="I28" s="32" t="s">
        <v>9</v>
      </c>
      <c r="J28" s="32" t="s">
        <v>9</v>
      </c>
      <c r="K28" s="211"/>
      <c r="L28" s="211" t="s">
        <v>9</v>
      </c>
      <c r="M28" s="211" t="s">
        <v>9</v>
      </c>
      <c r="N28" s="211" t="s">
        <v>9</v>
      </c>
      <c r="O28" s="211" t="s">
        <v>9</v>
      </c>
      <c r="P28" s="242">
        <f t="shared" si="6"/>
        <v>10</v>
      </c>
      <c r="Q28" s="243">
        <f t="shared" si="7"/>
        <v>0</v>
      </c>
      <c r="R28" s="238">
        <f t="shared" si="4"/>
        <v>10</v>
      </c>
      <c r="S28" s="53">
        <v>380000</v>
      </c>
      <c r="T28" s="54">
        <f t="shared" si="5"/>
        <v>3800000</v>
      </c>
      <c r="U28" s="253"/>
    </row>
    <row r="29" spans="1:21" s="31" customFormat="1" x14ac:dyDescent="0.3">
      <c r="A29" s="61">
        <f t="shared" si="8"/>
        <v>26</v>
      </c>
      <c r="B29" s="116" t="s">
        <v>220</v>
      </c>
      <c r="C29" s="116"/>
      <c r="D29" s="205" t="s">
        <v>4</v>
      </c>
      <c r="E29" s="127" t="s">
        <v>9</v>
      </c>
      <c r="F29" s="32"/>
      <c r="G29" s="32" t="s">
        <v>9</v>
      </c>
      <c r="H29" s="36" t="s">
        <v>9</v>
      </c>
      <c r="I29" s="32" t="s">
        <v>9</v>
      </c>
      <c r="J29" s="32" t="s">
        <v>9</v>
      </c>
      <c r="K29" s="211" t="s">
        <v>9</v>
      </c>
      <c r="L29" s="211" t="s">
        <v>9</v>
      </c>
      <c r="M29" s="211"/>
      <c r="N29" s="211" t="s">
        <v>9</v>
      </c>
      <c r="O29" s="211" t="s">
        <v>9</v>
      </c>
      <c r="P29" s="242">
        <f t="shared" si="6"/>
        <v>9</v>
      </c>
      <c r="Q29" s="243">
        <f t="shared" si="7"/>
        <v>0</v>
      </c>
      <c r="R29" s="238">
        <f t="shared" si="4"/>
        <v>9</v>
      </c>
      <c r="S29" s="53">
        <v>370000</v>
      </c>
      <c r="T29" s="54">
        <f t="shared" si="5"/>
        <v>3330000</v>
      </c>
      <c r="U29" s="253"/>
    </row>
    <row r="30" spans="1:21" s="31" customFormat="1" x14ac:dyDescent="0.3">
      <c r="A30" s="61">
        <f t="shared" si="8"/>
        <v>27</v>
      </c>
      <c r="B30" s="116" t="s">
        <v>221</v>
      </c>
      <c r="C30" s="116"/>
      <c r="D30" s="205" t="s">
        <v>4</v>
      </c>
      <c r="E30" s="127" t="s">
        <v>9</v>
      </c>
      <c r="F30" s="32"/>
      <c r="G30" s="32"/>
      <c r="H30" s="36" t="s">
        <v>9</v>
      </c>
      <c r="I30" s="32" t="s">
        <v>9</v>
      </c>
      <c r="J30" s="32" t="s">
        <v>9</v>
      </c>
      <c r="K30" s="211" t="s">
        <v>9</v>
      </c>
      <c r="L30" s="211" t="s">
        <v>9</v>
      </c>
      <c r="M30" s="211" t="s">
        <v>9</v>
      </c>
      <c r="N30" s="211" t="s">
        <v>9</v>
      </c>
      <c r="O30" s="211" t="s">
        <v>9</v>
      </c>
      <c r="P30" s="242">
        <f t="shared" si="6"/>
        <v>9</v>
      </c>
      <c r="Q30" s="243">
        <f t="shared" si="7"/>
        <v>0</v>
      </c>
      <c r="R30" s="238">
        <f t="shared" si="4"/>
        <v>9</v>
      </c>
      <c r="S30" s="53">
        <v>380000</v>
      </c>
      <c r="T30" s="54">
        <f t="shared" si="5"/>
        <v>3420000</v>
      </c>
      <c r="U30" s="253"/>
    </row>
    <row r="31" spans="1:21" s="31" customFormat="1" x14ac:dyDescent="0.3">
      <c r="A31" s="61">
        <f t="shared" si="8"/>
        <v>28</v>
      </c>
      <c r="B31" s="48" t="s">
        <v>222</v>
      </c>
      <c r="C31" s="48"/>
      <c r="D31" s="204" t="s">
        <v>4</v>
      </c>
      <c r="E31" s="41" t="s">
        <v>9</v>
      </c>
      <c r="F31" s="32" t="s">
        <v>9</v>
      </c>
      <c r="G31" s="32" t="s">
        <v>9</v>
      </c>
      <c r="H31" s="36" t="s">
        <v>9</v>
      </c>
      <c r="I31" s="32" t="s">
        <v>9</v>
      </c>
      <c r="J31" s="32" t="s">
        <v>9</v>
      </c>
      <c r="K31" s="211" t="s">
        <v>9</v>
      </c>
      <c r="L31" s="211"/>
      <c r="M31" s="211" t="s">
        <v>9</v>
      </c>
      <c r="N31" s="211" t="s">
        <v>9</v>
      </c>
      <c r="O31" s="211" t="s">
        <v>9</v>
      </c>
      <c r="P31" s="242">
        <f t="shared" si="6"/>
        <v>10</v>
      </c>
      <c r="Q31" s="243">
        <f t="shared" si="7"/>
        <v>0</v>
      </c>
      <c r="R31" s="238">
        <f t="shared" si="4"/>
        <v>10</v>
      </c>
      <c r="S31" s="53">
        <v>360000</v>
      </c>
      <c r="T31" s="54">
        <f t="shared" si="5"/>
        <v>3600000</v>
      </c>
      <c r="U31" s="253"/>
    </row>
    <row r="32" spans="1:21" s="31" customFormat="1" x14ac:dyDescent="0.3">
      <c r="A32" s="61">
        <f t="shared" si="8"/>
        <v>29</v>
      </c>
      <c r="B32" s="116" t="s">
        <v>223</v>
      </c>
      <c r="C32" s="116"/>
      <c r="D32" s="205" t="s">
        <v>5</v>
      </c>
      <c r="E32" s="41" t="s">
        <v>9</v>
      </c>
      <c r="F32" s="32"/>
      <c r="G32" s="32" t="s">
        <v>9</v>
      </c>
      <c r="H32" s="36" t="s">
        <v>9</v>
      </c>
      <c r="I32" s="32" t="s">
        <v>9</v>
      </c>
      <c r="J32" s="32" t="s">
        <v>9</v>
      </c>
      <c r="K32" s="211" t="s">
        <v>9</v>
      </c>
      <c r="L32" s="211"/>
      <c r="M32" s="211" t="s">
        <v>9</v>
      </c>
      <c r="N32" s="211" t="s">
        <v>9</v>
      </c>
      <c r="O32" s="211" t="s">
        <v>9</v>
      </c>
      <c r="P32" s="242">
        <f t="shared" si="6"/>
        <v>9</v>
      </c>
      <c r="Q32" s="243">
        <f t="shared" si="7"/>
        <v>0</v>
      </c>
      <c r="R32" s="238">
        <f t="shared" si="4"/>
        <v>9</v>
      </c>
      <c r="S32" s="53">
        <v>280000</v>
      </c>
      <c r="T32" s="54">
        <f t="shared" si="5"/>
        <v>2520000</v>
      </c>
      <c r="U32" s="253"/>
    </row>
    <row r="33" spans="1:21" s="31" customFormat="1" x14ac:dyDescent="0.3">
      <c r="A33" s="61">
        <f t="shared" si="8"/>
        <v>30</v>
      </c>
      <c r="B33" s="116" t="s">
        <v>224</v>
      </c>
      <c r="C33" s="116"/>
      <c r="D33" s="205" t="s">
        <v>4</v>
      </c>
      <c r="E33" s="127" t="s">
        <v>9</v>
      </c>
      <c r="F33" s="32" t="s">
        <v>9</v>
      </c>
      <c r="G33" s="32" t="s">
        <v>9</v>
      </c>
      <c r="H33" s="36"/>
      <c r="I33" s="32"/>
      <c r="J33" s="32"/>
      <c r="K33" s="211"/>
      <c r="L33" s="211"/>
      <c r="M33" s="211"/>
      <c r="N33" s="211"/>
      <c r="O33" s="211"/>
      <c r="P33" s="242">
        <f t="shared" si="6"/>
        <v>3</v>
      </c>
      <c r="Q33" s="243">
        <f t="shared" si="7"/>
        <v>0</v>
      </c>
      <c r="R33" s="238">
        <f t="shared" si="4"/>
        <v>3</v>
      </c>
      <c r="S33" s="53">
        <v>370000</v>
      </c>
      <c r="T33" s="54">
        <f t="shared" si="5"/>
        <v>1110000</v>
      </c>
      <c r="U33" s="253"/>
    </row>
    <row r="34" spans="1:21" s="31" customFormat="1" x14ac:dyDescent="0.3">
      <c r="A34" s="61">
        <f t="shared" si="8"/>
        <v>31</v>
      </c>
      <c r="B34" s="116" t="s">
        <v>225</v>
      </c>
      <c r="C34" s="116"/>
      <c r="D34" s="205" t="s">
        <v>5</v>
      </c>
      <c r="E34" s="127" t="s">
        <v>9</v>
      </c>
      <c r="F34" s="32" t="s">
        <v>9</v>
      </c>
      <c r="G34" s="32" t="s">
        <v>9</v>
      </c>
      <c r="H34" s="36"/>
      <c r="I34" s="32"/>
      <c r="J34" s="32"/>
      <c r="K34" s="211"/>
      <c r="L34" s="211" t="s">
        <v>9</v>
      </c>
      <c r="M34" s="211" t="s">
        <v>9</v>
      </c>
      <c r="N34" s="211" t="s">
        <v>9</v>
      </c>
      <c r="O34" s="211" t="s">
        <v>9</v>
      </c>
      <c r="P34" s="242">
        <f t="shared" si="6"/>
        <v>7</v>
      </c>
      <c r="Q34" s="243">
        <f t="shared" si="7"/>
        <v>0</v>
      </c>
      <c r="R34" s="238">
        <f t="shared" si="4"/>
        <v>7</v>
      </c>
      <c r="S34" s="53">
        <v>270000</v>
      </c>
      <c r="T34" s="54">
        <f t="shared" si="5"/>
        <v>1890000</v>
      </c>
      <c r="U34" s="253"/>
    </row>
    <row r="35" spans="1:21" s="31" customFormat="1" x14ac:dyDescent="0.3">
      <c r="A35" s="61">
        <f t="shared" si="8"/>
        <v>32</v>
      </c>
      <c r="B35" s="116" t="s">
        <v>226</v>
      </c>
      <c r="C35" s="116"/>
      <c r="D35" s="205" t="s">
        <v>4</v>
      </c>
      <c r="E35" s="127" t="s">
        <v>9</v>
      </c>
      <c r="F35" s="32"/>
      <c r="G35" s="32"/>
      <c r="H35" s="36" t="s">
        <v>9</v>
      </c>
      <c r="I35" s="32" t="s">
        <v>9</v>
      </c>
      <c r="J35" s="32" t="s">
        <v>9</v>
      </c>
      <c r="K35" s="211"/>
      <c r="L35" s="211" t="s">
        <v>9</v>
      </c>
      <c r="M35" s="211"/>
      <c r="N35" s="211" t="s">
        <v>9</v>
      </c>
      <c r="O35" s="211" t="s">
        <v>9</v>
      </c>
      <c r="P35" s="242">
        <f t="shared" si="6"/>
        <v>7</v>
      </c>
      <c r="Q35" s="243">
        <f t="shared" si="7"/>
        <v>0</v>
      </c>
      <c r="R35" s="238">
        <f t="shared" si="4"/>
        <v>7</v>
      </c>
      <c r="S35" s="53">
        <v>360000</v>
      </c>
      <c r="T35" s="54">
        <f t="shared" si="5"/>
        <v>2520000</v>
      </c>
      <c r="U35" s="253"/>
    </row>
    <row r="36" spans="1:21" s="31" customFormat="1" x14ac:dyDescent="0.3">
      <c r="A36" s="61">
        <f t="shared" si="8"/>
        <v>33</v>
      </c>
      <c r="B36" s="116" t="s">
        <v>229</v>
      </c>
      <c r="C36" s="116"/>
      <c r="D36" s="205" t="s">
        <v>5</v>
      </c>
      <c r="E36" s="127" t="s">
        <v>9</v>
      </c>
      <c r="F36" s="32"/>
      <c r="G36" s="32" t="s">
        <v>9</v>
      </c>
      <c r="H36" s="36" t="s">
        <v>9</v>
      </c>
      <c r="I36" s="32" t="s">
        <v>9</v>
      </c>
      <c r="J36" s="32" t="s">
        <v>9</v>
      </c>
      <c r="K36" s="211" t="s">
        <v>9</v>
      </c>
      <c r="L36" s="211"/>
      <c r="M36" s="211"/>
      <c r="N36" s="211" t="s">
        <v>9</v>
      </c>
      <c r="O36" s="211" t="s">
        <v>9</v>
      </c>
      <c r="P36" s="242">
        <f t="shared" si="6"/>
        <v>8</v>
      </c>
      <c r="Q36" s="243">
        <f t="shared" si="7"/>
        <v>0</v>
      </c>
      <c r="R36" s="238">
        <f t="shared" si="4"/>
        <v>8</v>
      </c>
      <c r="S36" s="53">
        <v>270000</v>
      </c>
      <c r="T36" s="54">
        <f t="shared" si="5"/>
        <v>2160000</v>
      </c>
      <c r="U36" s="253"/>
    </row>
    <row r="37" spans="1:21" s="55" customFormat="1" x14ac:dyDescent="0.3">
      <c r="A37" s="61">
        <f t="shared" si="8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211"/>
      <c r="O37" s="211"/>
      <c r="P37" s="242">
        <f t="shared" si="6"/>
        <v>0</v>
      </c>
      <c r="Q37" s="243">
        <f t="shared" si="7"/>
        <v>0</v>
      </c>
      <c r="R37" s="238">
        <f t="shared" si="4"/>
        <v>0</v>
      </c>
      <c r="S37" s="53">
        <v>260000</v>
      </c>
      <c r="T37" s="54">
        <f t="shared" si="5"/>
        <v>0</v>
      </c>
      <c r="U37" s="254"/>
    </row>
    <row r="38" spans="1:21" s="31" customFormat="1" x14ac:dyDescent="0.3">
      <c r="A38" s="61">
        <f t="shared" si="8"/>
        <v>35</v>
      </c>
      <c r="B38" s="116" t="s">
        <v>231</v>
      </c>
      <c r="C38" s="116"/>
      <c r="D38" s="205" t="s">
        <v>4</v>
      </c>
      <c r="E38" s="127" t="s">
        <v>9</v>
      </c>
      <c r="F38" s="32"/>
      <c r="G38" s="32" t="s">
        <v>9</v>
      </c>
      <c r="H38" s="36" t="s">
        <v>9</v>
      </c>
      <c r="I38" s="32" t="s">
        <v>9</v>
      </c>
      <c r="J38" s="32" t="s">
        <v>9</v>
      </c>
      <c r="K38" s="211" t="s">
        <v>9</v>
      </c>
      <c r="L38" s="211"/>
      <c r="M38" s="211" t="s">
        <v>9</v>
      </c>
      <c r="N38" s="211" t="s">
        <v>9</v>
      </c>
      <c r="O38" s="211" t="s">
        <v>9</v>
      </c>
      <c r="P38" s="242">
        <f t="shared" si="6"/>
        <v>9</v>
      </c>
      <c r="Q38" s="243">
        <f t="shared" si="7"/>
        <v>0</v>
      </c>
      <c r="R38" s="238">
        <f t="shared" si="4"/>
        <v>9</v>
      </c>
      <c r="S38" s="53">
        <v>360000</v>
      </c>
      <c r="T38" s="54">
        <f t="shared" si="5"/>
        <v>3240000</v>
      </c>
      <c r="U38" s="253"/>
    </row>
    <row r="39" spans="1:21" s="31" customFormat="1" x14ac:dyDescent="0.3">
      <c r="A39" s="61">
        <f t="shared" si="8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211"/>
      <c r="O39" s="211"/>
      <c r="P39" s="242">
        <f t="shared" si="6"/>
        <v>0</v>
      </c>
      <c r="Q39" s="243">
        <f t="shared" si="7"/>
        <v>0</v>
      </c>
      <c r="R39" s="238">
        <f t="shared" si="4"/>
        <v>0</v>
      </c>
      <c r="S39" s="53">
        <v>360000</v>
      </c>
      <c r="T39" s="54">
        <f t="shared" si="5"/>
        <v>0</v>
      </c>
      <c r="U39" s="253"/>
    </row>
    <row r="40" spans="1:21" s="31" customFormat="1" x14ac:dyDescent="0.3">
      <c r="A40" s="61">
        <f t="shared" si="8"/>
        <v>37</v>
      </c>
      <c r="B40" s="116" t="s">
        <v>233</v>
      </c>
      <c r="C40" s="116"/>
      <c r="D40" s="205" t="s">
        <v>5</v>
      </c>
      <c r="E40" s="127" t="s">
        <v>9</v>
      </c>
      <c r="F40" s="32"/>
      <c r="G40" s="32" t="s">
        <v>9</v>
      </c>
      <c r="H40" s="36" t="s">
        <v>9</v>
      </c>
      <c r="I40" s="32" t="s">
        <v>9</v>
      </c>
      <c r="J40" s="32" t="s">
        <v>9</v>
      </c>
      <c r="K40" s="211" t="s">
        <v>9</v>
      </c>
      <c r="L40" s="211" t="s">
        <v>9</v>
      </c>
      <c r="M40" s="211"/>
      <c r="N40" s="211" t="s">
        <v>9</v>
      </c>
      <c r="O40" s="211" t="s">
        <v>9</v>
      </c>
      <c r="P40" s="242">
        <f t="shared" si="6"/>
        <v>9</v>
      </c>
      <c r="Q40" s="243">
        <f t="shared" si="7"/>
        <v>0</v>
      </c>
      <c r="R40" s="238">
        <f t="shared" si="4"/>
        <v>9</v>
      </c>
      <c r="S40" s="53">
        <v>260000</v>
      </c>
      <c r="T40" s="54">
        <f t="shared" si="5"/>
        <v>2340000</v>
      </c>
      <c r="U40" s="253"/>
    </row>
    <row r="41" spans="1:21" s="31" customFormat="1" x14ac:dyDescent="0.3">
      <c r="A41" s="61">
        <f t="shared" si="8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211"/>
      <c r="O41" s="211"/>
      <c r="P41" s="242">
        <f t="shared" si="6"/>
        <v>0</v>
      </c>
      <c r="Q41" s="243">
        <f t="shared" si="7"/>
        <v>0</v>
      </c>
      <c r="R41" s="238">
        <f t="shared" si="4"/>
        <v>0</v>
      </c>
      <c r="S41" s="53">
        <v>370000</v>
      </c>
      <c r="T41" s="54">
        <f t="shared" si="5"/>
        <v>0</v>
      </c>
      <c r="U41" s="253"/>
    </row>
    <row r="42" spans="1:21" s="31" customFormat="1" x14ac:dyDescent="0.3">
      <c r="A42" s="61">
        <f t="shared" si="8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211"/>
      <c r="O42" s="211"/>
      <c r="P42" s="242">
        <f t="shared" si="6"/>
        <v>0</v>
      </c>
      <c r="Q42" s="243">
        <f t="shared" si="7"/>
        <v>0</v>
      </c>
      <c r="R42" s="238">
        <f t="shared" si="4"/>
        <v>0</v>
      </c>
      <c r="S42" s="53">
        <v>270000</v>
      </c>
      <c r="T42" s="54">
        <f t="shared" si="5"/>
        <v>0</v>
      </c>
      <c r="U42" s="253"/>
    </row>
    <row r="43" spans="1:21" s="31" customFormat="1" x14ac:dyDescent="0.3">
      <c r="A43" s="61">
        <f t="shared" si="8"/>
        <v>40</v>
      </c>
      <c r="B43" s="116" t="s">
        <v>235</v>
      </c>
      <c r="C43" s="116"/>
      <c r="D43" s="205" t="s">
        <v>4</v>
      </c>
      <c r="E43" s="127" t="s">
        <v>9</v>
      </c>
      <c r="F43" s="32" t="s">
        <v>9</v>
      </c>
      <c r="G43" s="32" t="s">
        <v>9</v>
      </c>
      <c r="H43" s="36" t="s">
        <v>9</v>
      </c>
      <c r="I43" s="32" t="s">
        <v>9</v>
      </c>
      <c r="J43" s="32" t="s">
        <v>9</v>
      </c>
      <c r="K43" s="211" t="s">
        <v>9</v>
      </c>
      <c r="L43" s="211" t="s">
        <v>9</v>
      </c>
      <c r="M43" s="211"/>
      <c r="N43" s="211"/>
      <c r="O43" s="211" t="s">
        <v>9</v>
      </c>
      <c r="P43" s="242">
        <f t="shared" si="6"/>
        <v>9</v>
      </c>
      <c r="Q43" s="243">
        <f t="shared" si="7"/>
        <v>0</v>
      </c>
      <c r="R43" s="238">
        <f t="shared" si="4"/>
        <v>9</v>
      </c>
      <c r="S43" s="53">
        <v>360000</v>
      </c>
      <c r="T43" s="54">
        <f t="shared" si="5"/>
        <v>3240000</v>
      </c>
      <c r="U43" s="253"/>
    </row>
    <row r="44" spans="1:21" s="31" customFormat="1" x14ac:dyDescent="0.3">
      <c r="A44" s="61">
        <f t="shared" si="8"/>
        <v>41</v>
      </c>
      <c r="B44" s="116" t="s">
        <v>237</v>
      </c>
      <c r="C44" s="116"/>
      <c r="D44" s="205" t="s">
        <v>5</v>
      </c>
      <c r="E44" s="127" t="s">
        <v>9</v>
      </c>
      <c r="F44" s="32" t="s">
        <v>9</v>
      </c>
      <c r="G44" s="32" t="s">
        <v>9</v>
      </c>
      <c r="H44" s="36" t="s">
        <v>9</v>
      </c>
      <c r="I44" s="32" t="s">
        <v>9</v>
      </c>
      <c r="J44" s="32" t="s">
        <v>9</v>
      </c>
      <c r="K44" s="211" t="s">
        <v>9</v>
      </c>
      <c r="L44" s="211" t="s">
        <v>9</v>
      </c>
      <c r="M44" s="211"/>
      <c r="N44" s="211"/>
      <c r="O44" s="211" t="s">
        <v>9</v>
      </c>
      <c r="P44" s="242">
        <f t="shared" si="6"/>
        <v>9</v>
      </c>
      <c r="Q44" s="243">
        <f t="shared" si="7"/>
        <v>0</v>
      </c>
      <c r="R44" s="238">
        <f t="shared" si="4"/>
        <v>9</v>
      </c>
      <c r="S44" s="53">
        <v>270000</v>
      </c>
      <c r="T44" s="54">
        <f t="shared" si="5"/>
        <v>2430000</v>
      </c>
      <c r="U44" s="253"/>
    </row>
    <row r="45" spans="1:21" s="31" customFormat="1" x14ac:dyDescent="0.3">
      <c r="A45" s="61">
        <f t="shared" si="8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211"/>
      <c r="O45" s="211"/>
      <c r="P45" s="242">
        <f t="shared" si="6"/>
        <v>0</v>
      </c>
      <c r="Q45" s="243">
        <f t="shared" si="7"/>
        <v>0</v>
      </c>
      <c r="R45" s="238">
        <f t="shared" si="4"/>
        <v>0</v>
      </c>
      <c r="S45" s="53">
        <v>270000</v>
      </c>
      <c r="T45" s="54">
        <f t="shared" si="5"/>
        <v>0</v>
      </c>
      <c r="U45" s="253"/>
    </row>
    <row r="46" spans="1:21" s="31" customFormat="1" x14ac:dyDescent="0.3">
      <c r="A46" s="61">
        <f t="shared" si="8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10"/>
      <c r="O46" s="210"/>
      <c r="P46" s="242">
        <f t="shared" si="6"/>
        <v>0</v>
      </c>
      <c r="Q46" s="243">
        <f t="shared" si="7"/>
        <v>0</v>
      </c>
      <c r="R46" s="238">
        <f t="shared" si="4"/>
        <v>0</v>
      </c>
      <c r="S46" s="53">
        <v>270000</v>
      </c>
      <c r="T46" s="54">
        <f t="shared" si="5"/>
        <v>0</v>
      </c>
      <c r="U46" s="253"/>
    </row>
    <row r="47" spans="1:21" s="31" customFormat="1" x14ac:dyDescent="0.3">
      <c r="A47" s="61">
        <f t="shared" si="8"/>
        <v>44</v>
      </c>
      <c r="B47" s="116" t="s">
        <v>240</v>
      </c>
      <c r="C47" s="116"/>
      <c r="D47" s="205" t="s">
        <v>4</v>
      </c>
      <c r="E47" s="127" t="s">
        <v>9</v>
      </c>
      <c r="F47" s="32"/>
      <c r="G47" s="32" t="s">
        <v>9</v>
      </c>
      <c r="H47" s="36" t="s">
        <v>9</v>
      </c>
      <c r="I47" s="32" t="s">
        <v>9</v>
      </c>
      <c r="J47" s="32" t="s">
        <v>9</v>
      </c>
      <c r="K47" s="211"/>
      <c r="L47" s="211" t="s">
        <v>9</v>
      </c>
      <c r="M47" s="211" t="s">
        <v>9</v>
      </c>
      <c r="N47" s="211" t="s">
        <v>9</v>
      </c>
      <c r="O47" s="211" t="s">
        <v>9</v>
      </c>
      <c r="P47" s="242">
        <f t="shared" si="6"/>
        <v>9</v>
      </c>
      <c r="Q47" s="243">
        <f t="shared" si="7"/>
        <v>0</v>
      </c>
      <c r="R47" s="238">
        <f t="shared" si="4"/>
        <v>9</v>
      </c>
      <c r="S47" s="53">
        <v>360000</v>
      </c>
      <c r="T47" s="54">
        <f t="shared" si="5"/>
        <v>3240000</v>
      </c>
      <c r="U47" s="253"/>
    </row>
    <row r="48" spans="1:21" s="31" customFormat="1" x14ac:dyDescent="0.3">
      <c r="A48" s="61">
        <f t="shared" si="8"/>
        <v>45</v>
      </c>
      <c r="B48" s="116" t="s">
        <v>241</v>
      </c>
      <c r="C48" s="116"/>
      <c r="D48" s="205" t="s">
        <v>4</v>
      </c>
      <c r="E48" s="127" t="s">
        <v>9</v>
      </c>
      <c r="F48" s="32"/>
      <c r="G48" s="32" t="s">
        <v>9</v>
      </c>
      <c r="H48" s="36" t="s">
        <v>9</v>
      </c>
      <c r="I48" s="32" t="s">
        <v>9</v>
      </c>
      <c r="J48" s="32" t="s">
        <v>9</v>
      </c>
      <c r="K48" s="211" t="s">
        <v>9</v>
      </c>
      <c r="L48" s="211" t="s">
        <v>9</v>
      </c>
      <c r="M48" s="211"/>
      <c r="N48" s="211" t="s">
        <v>9</v>
      </c>
      <c r="O48" s="211" t="s">
        <v>9</v>
      </c>
      <c r="P48" s="242">
        <f t="shared" si="6"/>
        <v>9</v>
      </c>
      <c r="Q48" s="243">
        <f t="shared" si="7"/>
        <v>0</v>
      </c>
      <c r="R48" s="238">
        <f t="shared" si="4"/>
        <v>9</v>
      </c>
      <c r="S48" s="53">
        <v>360000</v>
      </c>
      <c r="T48" s="54">
        <f t="shared" si="5"/>
        <v>3240000</v>
      </c>
      <c r="U48" s="253"/>
    </row>
    <row r="49" spans="1:21" s="31" customFormat="1" x14ac:dyDescent="0.3">
      <c r="A49" s="61">
        <f t="shared" si="8"/>
        <v>46</v>
      </c>
      <c r="B49" s="116" t="s">
        <v>242</v>
      </c>
      <c r="C49" s="116"/>
      <c r="D49" s="205" t="s">
        <v>5</v>
      </c>
      <c r="E49" s="127" t="s">
        <v>9</v>
      </c>
      <c r="F49" s="32" t="s">
        <v>9</v>
      </c>
      <c r="G49" s="32" t="s">
        <v>9</v>
      </c>
      <c r="H49" s="36" t="s">
        <v>9</v>
      </c>
      <c r="I49" s="32" t="s">
        <v>9</v>
      </c>
      <c r="J49" s="32" t="s">
        <v>9</v>
      </c>
      <c r="K49" s="211" t="s">
        <v>9</v>
      </c>
      <c r="L49" s="211" t="s">
        <v>9</v>
      </c>
      <c r="M49" s="211"/>
      <c r="N49" s="211" t="s">
        <v>9</v>
      </c>
      <c r="O49" s="211" t="s">
        <v>9</v>
      </c>
      <c r="P49" s="242">
        <f t="shared" si="6"/>
        <v>10</v>
      </c>
      <c r="Q49" s="243">
        <f t="shared" si="7"/>
        <v>0</v>
      </c>
      <c r="R49" s="238">
        <f t="shared" si="4"/>
        <v>10</v>
      </c>
      <c r="S49" s="53">
        <v>270000</v>
      </c>
      <c r="T49" s="54">
        <f t="shared" si="5"/>
        <v>2700000</v>
      </c>
      <c r="U49" s="253"/>
    </row>
    <row r="50" spans="1:21" s="31" customFormat="1" x14ac:dyDescent="0.3">
      <c r="A50" s="61">
        <f t="shared" si="8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211"/>
      <c r="O50" s="211"/>
      <c r="P50" s="242">
        <f t="shared" si="6"/>
        <v>0</v>
      </c>
      <c r="Q50" s="243">
        <f t="shared" si="7"/>
        <v>0</v>
      </c>
      <c r="R50" s="238">
        <f t="shared" si="4"/>
        <v>0</v>
      </c>
      <c r="S50" s="53">
        <v>270000</v>
      </c>
      <c r="T50" s="54">
        <f t="shared" si="5"/>
        <v>0</v>
      </c>
      <c r="U50" s="253"/>
    </row>
    <row r="51" spans="1:21" s="31" customFormat="1" x14ac:dyDescent="0.3">
      <c r="A51" s="61">
        <f t="shared" si="8"/>
        <v>48</v>
      </c>
      <c r="B51" s="116" t="s">
        <v>287</v>
      </c>
      <c r="C51" s="116"/>
      <c r="D51" s="205" t="s">
        <v>4</v>
      </c>
      <c r="E51" s="127" t="s">
        <v>9</v>
      </c>
      <c r="F51" s="32" t="s">
        <v>9</v>
      </c>
      <c r="G51" s="32" t="s">
        <v>9</v>
      </c>
      <c r="H51" s="36" t="s">
        <v>9</v>
      </c>
      <c r="I51" s="32" t="s">
        <v>9</v>
      </c>
      <c r="J51" s="32" t="s">
        <v>9</v>
      </c>
      <c r="K51" s="211" t="s">
        <v>9</v>
      </c>
      <c r="L51" s="211" t="s">
        <v>9</v>
      </c>
      <c r="M51" s="211"/>
      <c r="N51" s="211" t="s">
        <v>9</v>
      </c>
      <c r="O51" s="211" t="s">
        <v>9</v>
      </c>
      <c r="P51" s="242">
        <f t="shared" si="6"/>
        <v>10</v>
      </c>
      <c r="Q51" s="243">
        <f t="shared" si="7"/>
        <v>0</v>
      </c>
      <c r="R51" s="238">
        <f t="shared" si="4"/>
        <v>10</v>
      </c>
      <c r="S51" s="53">
        <v>360000</v>
      </c>
      <c r="T51" s="54">
        <f t="shared" si="5"/>
        <v>3600000</v>
      </c>
      <c r="U51" s="253"/>
    </row>
    <row r="52" spans="1:21" s="31" customFormat="1" x14ac:dyDescent="0.3">
      <c r="A52" s="61">
        <f t="shared" si="8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211"/>
      <c r="O52" s="211"/>
      <c r="P52" s="242">
        <f t="shared" si="6"/>
        <v>0</v>
      </c>
      <c r="Q52" s="243">
        <f t="shared" si="7"/>
        <v>0</v>
      </c>
      <c r="R52" s="238">
        <f t="shared" si="4"/>
        <v>0</v>
      </c>
      <c r="S52" s="53">
        <v>360000</v>
      </c>
      <c r="T52" s="54">
        <f t="shared" si="5"/>
        <v>0</v>
      </c>
      <c r="U52" s="253"/>
    </row>
    <row r="53" spans="1:21" s="31" customFormat="1" x14ac:dyDescent="0.3">
      <c r="A53" s="61">
        <f t="shared" si="8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211"/>
      <c r="O53" s="211"/>
      <c r="P53" s="242">
        <f t="shared" si="6"/>
        <v>0</v>
      </c>
      <c r="Q53" s="243">
        <f t="shared" si="7"/>
        <v>0</v>
      </c>
      <c r="R53" s="238">
        <f t="shared" si="4"/>
        <v>0</v>
      </c>
      <c r="S53" s="53">
        <v>270000</v>
      </c>
      <c r="T53" s="54">
        <f t="shared" si="5"/>
        <v>0</v>
      </c>
      <c r="U53" s="253"/>
    </row>
    <row r="54" spans="1:21" s="31" customFormat="1" x14ac:dyDescent="0.3">
      <c r="A54" s="61">
        <f t="shared" si="8"/>
        <v>51</v>
      </c>
      <c r="B54" s="116" t="s">
        <v>288</v>
      </c>
      <c r="C54" s="116"/>
      <c r="D54" s="205" t="s">
        <v>5</v>
      </c>
      <c r="E54" s="127" t="s">
        <v>9</v>
      </c>
      <c r="F54" s="32" t="s">
        <v>9</v>
      </c>
      <c r="G54" s="32" t="s">
        <v>9</v>
      </c>
      <c r="H54" s="36" t="s">
        <v>9</v>
      </c>
      <c r="I54" s="32" t="s">
        <v>9</v>
      </c>
      <c r="J54" s="32" t="s">
        <v>9</v>
      </c>
      <c r="K54" s="211"/>
      <c r="L54" s="211" t="s">
        <v>9</v>
      </c>
      <c r="M54" s="211" t="s">
        <v>9</v>
      </c>
      <c r="N54" s="211" t="s">
        <v>9</v>
      </c>
      <c r="O54" s="211" t="s">
        <v>9</v>
      </c>
      <c r="P54" s="242">
        <f t="shared" si="6"/>
        <v>10</v>
      </c>
      <c r="Q54" s="243">
        <f t="shared" si="7"/>
        <v>0</v>
      </c>
      <c r="R54" s="238">
        <f t="shared" si="4"/>
        <v>10</v>
      </c>
      <c r="S54" s="53">
        <v>270000</v>
      </c>
      <c r="T54" s="54">
        <f t="shared" si="5"/>
        <v>2700000</v>
      </c>
      <c r="U54" s="253"/>
    </row>
    <row r="55" spans="1:21" s="31" customFormat="1" x14ac:dyDescent="0.3">
      <c r="A55" s="61">
        <f t="shared" si="8"/>
        <v>52</v>
      </c>
      <c r="B55" s="116" t="s">
        <v>291</v>
      </c>
      <c r="C55" s="116"/>
      <c r="D55" s="205" t="s">
        <v>5</v>
      </c>
      <c r="E55" s="127" t="s">
        <v>9</v>
      </c>
      <c r="F55" s="32"/>
      <c r="G55" s="32" t="s">
        <v>9</v>
      </c>
      <c r="H55" s="36" t="s">
        <v>9</v>
      </c>
      <c r="I55" s="32" t="s">
        <v>9</v>
      </c>
      <c r="J55" s="32" t="s">
        <v>9</v>
      </c>
      <c r="K55" s="211" t="s">
        <v>9</v>
      </c>
      <c r="L55" s="211"/>
      <c r="M55" s="211"/>
      <c r="N55" s="211" t="s">
        <v>9</v>
      </c>
      <c r="O55" s="211" t="s">
        <v>9</v>
      </c>
      <c r="P55" s="242">
        <f t="shared" si="6"/>
        <v>8</v>
      </c>
      <c r="Q55" s="243">
        <f t="shared" si="7"/>
        <v>0</v>
      </c>
      <c r="R55" s="238">
        <f t="shared" si="4"/>
        <v>8</v>
      </c>
      <c r="S55" s="53">
        <v>270000</v>
      </c>
      <c r="T55" s="54">
        <f t="shared" si="5"/>
        <v>2160000</v>
      </c>
      <c r="U55" s="253"/>
    </row>
    <row r="56" spans="1:21" s="31" customFormat="1" x14ac:dyDescent="0.3">
      <c r="A56" s="61">
        <f t="shared" si="8"/>
        <v>53</v>
      </c>
      <c r="B56" s="116" t="s">
        <v>295</v>
      </c>
      <c r="C56" s="116"/>
      <c r="D56" s="205" t="s">
        <v>5</v>
      </c>
      <c r="E56" s="127"/>
      <c r="F56" s="32"/>
      <c r="G56" s="32" t="s">
        <v>9</v>
      </c>
      <c r="H56" s="36" t="s">
        <v>9</v>
      </c>
      <c r="I56" s="32" t="s">
        <v>9</v>
      </c>
      <c r="J56" s="32" t="s">
        <v>9</v>
      </c>
      <c r="K56" s="211" t="s">
        <v>9</v>
      </c>
      <c r="L56" s="211"/>
      <c r="M56" s="211"/>
      <c r="N56" s="211" t="s">
        <v>9</v>
      </c>
      <c r="O56" s="211" t="s">
        <v>9</v>
      </c>
      <c r="P56" s="242">
        <f t="shared" si="6"/>
        <v>7</v>
      </c>
      <c r="Q56" s="243">
        <f t="shared" si="7"/>
        <v>0</v>
      </c>
      <c r="R56" s="238">
        <f t="shared" si="4"/>
        <v>7</v>
      </c>
      <c r="S56" s="53">
        <v>270000</v>
      </c>
      <c r="T56" s="54">
        <f t="shared" si="5"/>
        <v>1890000</v>
      </c>
      <c r="U56" s="253"/>
    </row>
    <row r="57" spans="1:21" s="31" customFormat="1" x14ac:dyDescent="0.3">
      <c r="A57" s="61">
        <f t="shared" si="8"/>
        <v>54</v>
      </c>
      <c r="B57" s="116" t="s">
        <v>296</v>
      </c>
      <c r="C57" s="116"/>
      <c r="D57" s="205" t="s">
        <v>5</v>
      </c>
      <c r="E57" s="127"/>
      <c r="F57" s="32"/>
      <c r="G57" s="32" t="s">
        <v>9</v>
      </c>
      <c r="H57" s="36" t="s">
        <v>9</v>
      </c>
      <c r="I57" s="32" t="s">
        <v>9</v>
      </c>
      <c r="J57" s="32" t="s">
        <v>9</v>
      </c>
      <c r="K57" s="211" t="s">
        <v>9</v>
      </c>
      <c r="L57" s="211"/>
      <c r="M57" s="211"/>
      <c r="N57" s="211"/>
      <c r="O57" s="211" t="s">
        <v>9</v>
      </c>
      <c r="P57" s="242">
        <f t="shared" si="6"/>
        <v>6</v>
      </c>
      <c r="Q57" s="243">
        <f t="shared" si="7"/>
        <v>0</v>
      </c>
      <c r="R57" s="238">
        <f t="shared" si="4"/>
        <v>6</v>
      </c>
      <c r="S57" s="53">
        <v>270000</v>
      </c>
      <c r="T57" s="54">
        <f t="shared" si="5"/>
        <v>1620000</v>
      </c>
      <c r="U57" s="253"/>
    </row>
    <row r="58" spans="1:21" s="31" customFormat="1" x14ac:dyDescent="0.3">
      <c r="A58" s="61">
        <f t="shared" si="8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211"/>
      <c r="O58" s="211"/>
      <c r="P58" s="242">
        <f t="shared" si="6"/>
        <v>0</v>
      </c>
      <c r="Q58" s="243">
        <f t="shared" si="7"/>
        <v>0</v>
      </c>
      <c r="R58" s="238">
        <f t="shared" si="4"/>
        <v>0</v>
      </c>
      <c r="S58" s="53">
        <v>360000</v>
      </c>
      <c r="T58" s="54">
        <f t="shared" si="5"/>
        <v>0</v>
      </c>
      <c r="U58" s="253"/>
    </row>
    <row r="59" spans="1:21" s="31" customFormat="1" x14ac:dyDescent="0.3">
      <c r="A59" s="61">
        <f t="shared" si="8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211"/>
      <c r="O59" s="211"/>
      <c r="P59" s="242">
        <f t="shared" si="6"/>
        <v>0</v>
      </c>
      <c r="Q59" s="243">
        <f t="shared" si="7"/>
        <v>0</v>
      </c>
      <c r="R59" s="238">
        <f t="shared" si="4"/>
        <v>0</v>
      </c>
      <c r="S59" s="53">
        <v>270000</v>
      </c>
      <c r="T59" s="54">
        <f t="shared" si="5"/>
        <v>0</v>
      </c>
      <c r="U59" s="253"/>
    </row>
    <row r="60" spans="1:21" s="31" customFormat="1" x14ac:dyDescent="0.3">
      <c r="A60" s="61">
        <f t="shared" si="8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211"/>
      <c r="O60" s="211"/>
      <c r="P60" s="242">
        <f t="shared" si="6"/>
        <v>0</v>
      </c>
      <c r="Q60" s="243">
        <f t="shared" si="7"/>
        <v>0</v>
      </c>
      <c r="R60" s="238">
        <f t="shared" si="4"/>
        <v>0</v>
      </c>
      <c r="S60" s="53">
        <v>260000</v>
      </c>
      <c r="T60" s="54">
        <f t="shared" si="5"/>
        <v>0</v>
      </c>
      <c r="U60" s="253"/>
    </row>
    <row r="61" spans="1:21" s="31" customFormat="1" x14ac:dyDescent="0.3">
      <c r="A61" s="61">
        <f t="shared" si="8"/>
        <v>58</v>
      </c>
      <c r="B61" s="116" t="s">
        <v>361</v>
      </c>
      <c r="C61" s="116"/>
      <c r="D61" s="205" t="s">
        <v>4</v>
      </c>
      <c r="E61" s="127" t="s">
        <v>9</v>
      </c>
      <c r="F61" s="32" t="s">
        <v>9</v>
      </c>
      <c r="G61" s="32" t="s">
        <v>9</v>
      </c>
      <c r="H61" s="36"/>
      <c r="I61" s="32"/>
      <c r="J61" s="32"/>
      <c r="K61" s="211"/>
      <c r="L61" s="211"/>
      <c r="M61" s="211"/>
      <c r="N61" s="211"/>
      <c r="O61" s="211"/>
      <c r="P61" s="230">
        <f t="shared" si="6"/>
        <v>3</v>
      </c>
      <c r="Q61" s="244">
        <f t="shared" si="7"/>
        <v>0</v>
      </c>
      <c r="R61" s="238">
        <f t="shared" si="4"/>
        <v>3</v>
      </c>
      <c r="S61" s="53">
        <v>360000</v>
      </c>
      <c r="T61" s="54">
        <f t="shared" si="5"/>
        <v>1080000</v>
      </c>
      <c r="U61" s="253"/>
    </row>
    <row r="62" spans="1:21" s="31" customFormat="1" x14ac:dyDescent="0.3">
      <c r="A62" s="61">
        <f t="shared" si="8"/>
        <v>59</v>
      </c>
      <c r="B62" s="116" t="s">
        <v>362</v>
      </c>
      <c r="C62" s="116"/>
      <c r="D62" s="205" t="s">
        <v>5</v>
      </c>
      <c r="E62" s="127" t="s">
        <v>9</v>
      </c>
      <c r="F62" s="32"/>
      <c r="G62" s="32" t="s">
        <v>9</v>
      </c>
      <c r="H62" s="36" t="s">
        <v>9</v>
      </c>
      <c r="I62" s="32" t="s">
        <v>9</v>
      </c>
      <c r="J62" s="32" t="s">
        <v>9</v>
      </c>
      <c r="K62" s="211" t="s">
        <v>9</v>
      </c>
      <c r="L62" s="211" t="s">
        <v>9</v>
      </c>
      <c r="M62" s="211"/>
      <c r="N62" s="211" t="s">
        <v>9</v>
      </c>
      <c r="O62" s="211"/>
      <c r="P62" s="230">
        <f t="shared" si="6"/>
        <v>8</v>
      </c>
      <c r="Q62" s="244">
        <f t="shared" si="7"/>
        <v>0</v>
      </c>
      <c r="R62" s="238">
        <f t="shared" si="4"/>
        <v>8</v>
      </c>
      <c r="S62" s="53">
        <v>260000</v>
      </c>
      <c r="T62" s="54">
        <f t="shared" si="5"/>
        <v>2080000</v>
      </c>
      <c r="U62" s="253"/>
    </row>
    <row r="63" spans="1:21" s="31" customFormat="1" x14ac:dyDescent="0.3">
      <c r="A63" s="61">
        <f t="shared" si="8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211"/>
      <c r="O63" s="211"/>
      <c r="P63" s="230">
        <f t="shared" si="6"/>
        <v>0</v>
      </c>
      <c r="Q63" s="244">
        <f t="shared" si="7"/>
        <v>0</v>
      </c>
      <c r="R63" s="238">
        <f t="shared" si="4"/>
        <v>0</v>
      </c>
      <c r="S63" s="53">
        <v>260000</v>
      </c>
      <c r="T63" s="54">
        <f t="shared" si="5"/>
        <v>0</v>
      </c>
      <c r="U63" s="253"/>
    </row>
    <row r="64" spans="1:21" s="31" customFormat="1" x14ac:dyDescent="0.3">
      <c r="A64" s="61">
        <f t="shared" si="8"/>
        <v>61</v>
      </c>
      <c r="B64" s="116" t="s">
        <v>364</v>
      </c>
      <c r="C64" s="116"/>
      <c r="D64" s="205" t="s">
        <v>4</v>
      </c>
      <c r="E64" s="127" t="s">
        <v>9</v>
      </c>
      <c r="F64" s="32"/>
      <c r="G64" s="32" t="s">
        <v>9</v>
      </c>
      <c r="H64" s="36" t="s">
        <v>9</v>
      </c>
      <c r="I64" s="32" t="s">
        <v>9</v>
      </c>
      <c r="J64" s="32" t="s">
        <v>9</v>
      </c>
      <c r="K64" s="211" t="s">
        <v>9</v>
      </c>
      <c r="L64" s="211" t="s">
        <v>9</v>
      </c>
      <c r="M64" s="211"/>
      <c r="N64" s="211" t="s">
        <v>9</v>
      </c>
      <c r="O64" s="211"/>
      <c r="P64" s="230">
        <f t="shared" si="6"/>
        <v>8</v>
      </c>
      <c r="Q64" s="244">
        <f t="shared" si="7"/>
        <v>0</v>
      </c>
      <c r="R64" s="238">
        <f t="shared" si="4"/>
        <v>8</v>
      </c>
      <c r="S64" s="53">
        <v>360000</v>
      </c>
      <c r="T64" s="54">
        <f t="shared" si="5"/>
        <v>2880000</v>
      </c>
      <c r="U64" s="253"/>
    </row>
    <row r="65" spans="1:22" s="31" customFormat="1" x14ac:dyDescent="0.3">
      <c r="A65" s="61">
        <f t="shared" si="8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211"/>
      <c r="O65" s="211"/>
      <c r="P65" s="230">
        <f t="shared" si="6"/>
        <v>0</v>
      </c>
      <c r="Q65" s="244">
        <f t="shared" si="7"/>
        <v>0</v>
      </c>
      <c r="R65" s="238">
        <f t="shared" si="4"/>
        <v>0</v>
      </c>
      <c r="S65" s="53">
        <v>260000</v>
      </c>
      <c r="T65" s="54">
        <f t="shared" si="5"/>
        <v>0</v>
      </c>
      <c r="U65" s="253"/>
    </row>
    <row r="66" spans="1:22" s="31" customFormat="1" x14ac:dyDescent="0.3">
      <c r="A66" s="61">
        <f t="shared" si="8"/>
        <v>63</v>
      </c>
      <c r="B66" s="116" t="s">
        <v>366</v>
      </c>
      <c r="C66" s="116"/>
      <c r="D66" s="205" t="s">
        <v>4</v>
      </c>
      <c r="E66" s="127" t="s">
        <v>9</v>
      </c>
      <c r="F66" s="32"/>
      <c r="G66" s="32" t="s">
        <v>9</v>
      </c>
      <c r="H66" s="36" t="s">
        <v>9</v>
      </c>
      <c r="I66" s="32" t="s">
        <v>9</v>
      </c>
      <c r="J66" s="32" t="s">
        <v>9</v>
      </c>
      <c r="K66" s="211" t="s">
        <v>9</v>
      </c>
      <c r="L66" s="211" t="s">
        <v>9</v>
      </c>
      <c r="M66" s="211"/>
      <c r="N66" s="211" t="s">
        <v>9</v>
      </c>
      <c r="O66" s="211" t="s">
        <v>9</v>
      </c>
      <c r="P66" s="230">
        <f t="shared" si="6"/>
        <v>9</v>
      </c>
      <c r="Q66" s="244">
        <f t="shared" si="7"/>
        <v>0</v>
      </c>
      <c r="R66" s="238">
        <f t="shared" ref="R66:R69" si="9">SUM(P66:Q66)</f>
        <v>9</v>
      </c>
      <c r="S66" s="53">
        <v>360000</v>
      </c>
      <c r="T66" s="54">
        <f t="shared" ref="T66:T75" si="10">R66*S66</f>
        <v>3240000</v>
      </c>
      <c r="U66" s="253"/>
    </row>
    <row r="67" spans="1:22" s="31" customFormat="1" x14ac:dyDescent="0.3">
      <c r="A67" s="61">
        <f t="shared" si="8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211"/>
      <c r="O67" s="211"/>
      <c r="P67" s="230">
        <f t="shared" si="6"/>
        <v>0</v>
      </c>
      <c r="Q67" s="244">
        <f t="shared" si="7"/>
        <v>0</v>
      </c>
      <c r="R67" s="238">
        <f t="shared" si="9"/>
        <v>0</v>
      </c>
      <c r="S67" s="53">
        <v>260000</v>
      </c>
      <c r="T67" s="54">
        <f t="shared" si="10"/>
        <v>0</v>
      </c>
      <c r="U67" s="253"/>
    </row>
    <row r="68" spans="1:22" s="31" customFormat="1" x14ac:dyDescent="0.3">
      <c r="A68" s="61">
        <f t="shared" si="8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211"/>
      <c r="O68" s="211"/>
      <c r="P68" s="230">
        <f t="shared" ref="P68:P69" si="11">COUNTIF(E68:O68,"X")</f>
        <v>0</v>
      </c>
      <c r="Q68" s="244">
        <f t="shared" ref="Q68:Q69" si="12">COUNTIF(E68:O68,"X/2")/2</f>
        <v>0</v>
      </c>
      <c r="R68" s="238">
        <f t="shared" si="9"/>
        <v>0</v>
      </c>
      <c r="S68" s="53">
        <v>260000</v>
      </c>
      <c r="T68" s="54">
        <f t="shared" si="10"/>
        <v>0</v>
      </c>
      <c r="U68" s="253"/>
    </row>
    <row r="69" spans="1:22" s="31" customFormat="1" x14ac:dyDescent="0.3">
      <c r="A69" s="61">
        <f t="shared" si="8"/>
        <v>66</v>
      </c>
      <c r="B69" s="116" t="s">
        <v>369</v>
      </c>
      <c r="C69" s="116"/>
      <c r="D69" s="205" t="s">
        <v>5</v>
      </c>
      <c r="E69" s="127" t="s">
        <v>9</v>
      </c>
      <c r="F69" s="32" t="s">
        <v>9</v>
      </c>
      <c r="G69" s="32" t="s">
        <v>9</v>
      </c>
      <c r="H69" s="36"/>
      <c r="I69" s="32"/>
      <c r="J69" s="32"/>
      <c r="K69" s="211"/>
      <c r="L69" s="211"/>
      <c r="M69" s="211"/>
      <c r="N69" s="211"/>
      <c r="O69" s="211"/>
      <c r="P69" s="230">
        <f t="shared" si="11"/>
        <v>3</v>
      </c>
      <c r="Q69" s="244">
        <f t="shared" si="12"/>
        <v>0</v>
      </c>
      <c r="R69" s="238">
        <f t="shared" si="9"/>
        <v>3</v>
      </c>
      <c r="S69" s="53">
        <v>270000</v>
      </c>
      <c r="T69" s="54">
        <f t="shared" si="10"/>
        <v>810000</v>
      </c>
      <c r="U69" s="253"/>
    </row>
    <row r="70" spans="1:22" s="31" customFormat="1" x14ac:dyDescent="0.3">
      <c r="A70" s="61">
        <f t="shared" ref="A70:A75" si="13">A69+1</f>
        <v>67</v>
      </c>
      <c r="B70" s="116" t="s">
        <v>371</v>
      </c>
      <c r="C70" s="116"/>
      <c r="D70" s="205" t="s">
        <v>4</v>
      </c>
      <c r="E70" s="127"/>
      <c r="F70" s="32"/>
      <c r="G70" s="32" t="s">
        <v>9</v>
      </c>
      <c r="H70" s="36" t="s">
        <v>9</v>
      </c>
      <c r="I70" s="32" t="s">
        <v>9</v>
      </c>
      <c r="J70" s="32" t="s">
        <v>9</v>
      </c>
      <c r="K70" s="211" t="s">
        <v>9</v>
      </c>
      <c r="L70" s="211" t="s">
        <v>9</v>
      </c>
      <c r="M70" s="211"/>
      <c r="N70" s="211" t="s">
        <v>9</v>
      </c>
      <c r="O70" s="211" t="s">
        <v>9</v>
      </c>
      <c r="P70" s="230">
        <f t="shared" ref="P70:P75" si="14">COUNTIF(E70:O70,"X")</f>
        <v>8</v>
      </c>
      <c r="Q70" s="244">
        <f t="shared" ref="Q70:Q75" si="15">COUNTIF(E70:O70,"X/2")/2</f>
        <v>0</v>
      </c>
      <c r="R70" s="238">
        <f t="shared" ref="R70:R75" si="16">SUM(P70:Q70)</f>
        <v>8</v>
      </c>
      <c r="S70" s="53">
        <v>360000</v>
      </c>
      <c r="T70" s="54">
        <f t="shared" si="10"/>
        <v>2880000</v>
      </c>
      <c r="U70" s="253"/>
    </row>
    <row r="71" spans="1:22" s="31" customFormat="1" x14ac:dyDescent="0.3">
      <c r="A71" s="61">
        <f t="shared" si="13"/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 t="s">
        <v>9</v>
      </c>
      <c r="L71" s="211" t="s">
        <v>9</v>
      </c>
      <c r="M71" s="211"/>
      <c r="N71" s="211" t="s">
        <v>9</v>
      </c>
      <c r="O71" s="211" t="s">
        <v>9</v>
      </c>
      <c r="P71" s="230">
        <f t="shared" si="14"/>
        <v>4</v>
      </c>
      <c r="Q71" s="244">
        <f t="shared" si="15"/>
        <v>0</v>
      </c>
      <c r="R71" s="238">
        <f t="shared" si="16"/>
        <v>4</v>
      </c>
      <c r="S71" s="53">
        <v>360000</v>
      </c>
      <c r="T71" s="54">
        <f t="shared" si="10"/>
        <v>1440000</v>
      </c>
      <c r="U71" s="253"/>
    </row>
    <row r="72" spans="1:22" s="31" customFormat="1" x14ac:dyDescent="0.3">
      <c r="A72" s="61">
        <f t="shared" si="13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211" t="s">
        <v>9</v>
      </c>
      <c r="O72" s="211" t="s">
        <v>9</v>
      </c>
      <c r="P72" s="230">
        <f t="shared" si="14"/>
        <v>2</v>
      </c>
      <c r="Q72" s="244">
        <f t="shared" si="15"/>
        <v>0</v>
      </c>
      <c r="R72" s="238">
        <f t="shared" si="16"/>
        <v>2</v>
      </c>
      <c r="S72" s="53">
        <v>260000</v>
      </c>
      <c r="T72" s="54">
        <f t="shared" si="10"/>
        <v>520000</v>
      </c>
      <c r="U72" s="253"/>
    </row>
    <row r="73" spans="1:22" s="31" customFormat="1" x14ac:dyDescent="0.3">
      <c r="A73" s="61">
        <f t="shared" si="13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211" t="s">
        <v>9</v>
      </c>
      <c r="O73" s="211" t="s">
        <v>9</v>
      </c>
      <c r="P73" s="230">
        <f t="shared" si="14"/>
        <v>2</v>
      </c>
      <c r="Q73" s="244">
        <f t="shared" si="15"/>
        <v>0</v>
      </c>
      <c r="R73" s="238">
        <f t="shared" si="16"/>
        <v>2</v>
      </c>
      <c r="S73" s="53">
        <v>360000</v>
      </c>
      <c r="T73" s="54">
        <f t="shared" si="10"/>
        <v>720000</v>
      </c>
      <c r="U73" s="253"/>
    </row>
    <row r="74" spans="1:22" s="31" customFormat="1" x14ac:dyDescent="0.3">
      <c r="A74" s="61">
        <f t="shared" si="13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211" t="s">
        <v>9</v>
      </c>
      <c r="O74" s="211" t="s">
        <v>9</v>
      </c>
      <c r="P74" s="230">
        <f t="shared" si="14"/>
        <v>2</v>
      </c>
      <c r="Q74" s="244">
        <f t="shared" si="15"/>
        <v>0</v>
      </c>
      <c r="R74" s="238">
        <f t="shared" si="16"/>
        <v>2</v>
      </c>
      <c r="S74" s="53">
        <v>260000</v>
      </c>
      <c r="T74" s="54">
        <f t="shared" si="10"/>
        <v>520000</v>
      </c>
      <c r="U74" s="253"/>
    </row>
    <row r="75" spans="1:22" s="31" customFormat="1" x14ac:dyDescent="0.3">
      <c r="A75" s="61">
        <f t="shared" si="13"/>
        <v>72</v>
      </c>
      <c r="B75" s="159" t="s">
        <v>376</v>
      </c>
      <c r="C75" s="159"/>
      <c r="D75" s="206" t="s">
        <v>5</v>
      </c>
      <c r="E75" s="226"/>
      <c r="F75" s="227"/>
      <c r="G75" s="227"/>
      <c r="H75" s="228"/>
      <c r="I75" s="227"/>
      <c r="J75" s="227"/>
      <c r="K75" s="229"/>
      <c r="L75" s="229"/>
      <c r="M75" s="229"/>
      <c r="N75" s="229"/>
      <c r="O75" s="229" t="s">
        <v>9</v>
      </c>
      <c r="P75" s="230">
        <f t="shared" si="14"/>
        <v>1</v>
      </c>
      <c r="Q75" s="244">
        <f t="shared" si="15"/>
        <v>0</v>
      </c>
      <c r="R75" s="238">
        <f t="shared" si="16"/>
        <v>1</v>
      </c>
      <c r="S75" s="53">
        <v>260000</v>
      </c>
      <c r="T75" s="54">
        <f t="shared" si="10"/>
        <v>260000</v>
      </c>
      <c r="U75" s="255"/>
    </row>
    <row r="76" spans="1:22" s="31" customFormat="1" hidden="1" x14ac:dyDescent="0.3">
      <c r="A76" s="231"/>
      <c r="B76" s="29"/>
      <c r="C76" s="29"/>
      <c r="D76" s="210"/>
      <c r="E76" s="234"/>
      <c r="F76" s="232"/>
      <c r="G76" s="232"/>
      <c r="H76" s="232"/>
      <c r="I76" s="232"/>
      <c r="J76" s="232"/>
      <c r="K76" s="232"/>
      <c r="L76" s="232"/>
      <c r="M76" s="232"/>
      <c r="N76" s="232"/>
      <c r="O76" s="235"/>
      <c r="P76" s="242"/>
      <c r="Q76" s="243"/>
      <c r="R76" s="237"/>
      <c r="S76" s="52"/>
      <c r="T76" s="249"/>
      <c r="U76" s="256"/>
    </row>
    <row r="77" spans="1:22" s="31" customFormat="1" ht="16.2" hidden="1" thickBot="1" x14ac:dyDescent="0.35">
      <c r="A77" s="216"/>
      <c r="B77" s="217"/>
      <c r="C77" s="218"/>
      <c r="D77" s="219"/>
      <c r="E77" s="220"/>
      <c r="F77" s="221"/>
      <c r="G77" s="222"/>
      <c r="H77" s="221"/>
      <c r="I77" s="222"/>
      <c r="J77" s="222"/>
      <c r="K77" s="223"/>
      <c r="L77" s="223"/>
      <c r="M77" s="223"/>
      <c r="N77" s="223"/>
      <c r="O77" s="223"/>
      <c r="P77" s="245"/>
      <c r="Q77" s="246"/>
      <c r="R77" s="239"/>
      <c r="S77" s="224"/>
      <c r="T77" s="225"/>
      <c r="U77" s="257"/>
    </row>
    <row r="78" spans="1:22" s="31" customFormat="1" ht="16.2" thickBot="1" x14ac:dyDescent="0.35">
      <c r="A78" s="83"/>
      <c r="B78" s="84"/>
      <c r="C78" s="89"/>
      <c r="D78" s="85"/>
      <c r="E78" s="81">
        <f>SUBTOTAL(103,E4:E75)</f>
        <v>43</v>
      </c>
      <c r="F78" s="43">
        <f t="shared" ref="F78:P78" si="17">SUBTOTAL(103,F4:F75)</f>
        <v>21</v>
      </c>
      <c r="G78" s="40">
        <f t="shared" si="17"/>
        <v>46</v>
      </c>
      <c r="H78" s="43">
        <f t="shared" si="17"/>
        <v>44</v>
      </c>
      <c r="I78" s="40">
        <f t="shared" si="17"/>
        <v>43</v>
      </c>
      <c r="J78" s="40">
        <f t="shared" si="17"/>
        <v>43</v>
      </c>
      <c r="K78" s="155"/>
      <c r="L78" s="155"/>
      <c r="M78" s="155"/>
      <c r="N78" s="155"/>
      <c r="O78" s="155">
        <f>SUBTOTAL(103,O4:O75)</f>
        <v>43</v>
      </c>
      <c r="P78" s="81">
        <f t="shared" si="17"/>
        <v>72</v>
      </c>
      <c r="Q78" s="63">
        <f>SUBTOTAL(103,Q4:Q27)</f>
        <v>24</v>
      </c>
      <c r="R78" s="43">
        <f>SUBTOTAL(103,R4:R27)</f>
        <v>24</v>
      </c>
      <c r="S78" s="40">
        <f>SUBTOTAL(103,S4:S75)</f>
        <v>72</v>
      </c>
      <c r="T78" s="247">
        <f>SUBTOTAL(109,T4:T75)</f>
        <v>139450000</v>
      </c>
      <c r="U78" s="247">
        <f>SUBTOTAL(109,U4:U75)</f>
        <v>9000000</v>
      </c>
      <c r="V78" s="208" t="s">
        <v>377</v>
      </c>
    </row>
    <row r="79" spans="1:22" x14ac:dyDescent="0.3">
      <c r="T79" s="76"/>
      <c r="U79" s="248">
        <f>T78-U78</f>
        <v>130450000</v>
      </c>
    </row>
    <row r="80" spans="1:22" x14ac:dyDescent="0.3">
      <c r="T80" s="76"/>
    </row>
  </sheetData>
  <autoFilter ref="A3:V75"/>
  <mergeCells count="10">
    <mergeCell ref="R2:R3"/>
    <mergeCell ref="S2:S3"/>
    <mergeCell ref="T2:T3"/>
    <mergeCell ref="U2:U3"/>
    <mergeCell ref="A2:A3"/>
    <mergeCell ref="B2:B3"/>
    <mergeCell ref="C2:C3"/>
    <mergeCell ref="D2:D3"/>
    <mergeCell ref="P2:P3"/>
    <mergeCell ref="Q2:Q3"/>
  </mergeCells>
  <conditionalFormatting sqref="E78:O78">
    <cfRule type="expression" dxfId="10" priority="1">
      <formula>IF(E$3="cn",1,0)</formula>
    </cfRule>
  </conditionalFormatting>
  <pageMargins left="0.47" right="0.17" top="0.17" bottom="0.17" header="0.17" footer="0.17"/>
  <pageSetup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0"/>
  <sheetViews>
    <sheetView topLeftCell="A63" workbookViewId="0">
      <selection sqref="A1:XFD1048576"/>
    </sheetView>
  </sheetViews>
  <sheetFormatPr defaultRowHeight="15.6" x14ac:dyDescent="0.3"/>
  <cols>
    <col min="1" max="1" width="3.88671875" style="62" customWidth="1"/>
    <col min="2" max="2" width="20.33203125" style="1" customWidth="1"/>
    <col min="3" max="3" width="27.21875" style="1" hidden="1" customWidth="1"/>
    <col min="4" max="4" width="7.77734375" style="3" customWidth="1"/>
    <col min="5" max="7" width="4.5546875" style="129" customWidth="1"/>
    <col min="8" max="14" width="4.5546875" style="176" customWidth="1"/>
    <col min="15" max="15" width="6.21875" style="176" hidden="1" customWidth="1"/>
    <col min="16" max="16" width="6.6640625" style="176" hidden="1" customWidth="1"/>
    <col min="17" max="17" width="6.21875" style="176" customWidth="1"/>
    <col min="18" max="18" width="10.88671875" style="1" customWidth="1"/>
    <col min="19" max="19" width="14" style="1" customWidth="1"/>
    <col min="20" max="20" width="13.5546875" style="1" customWidth="1"/>
    <col min="21" max="21" width="22.21875" style="1" bestFit="1" customWidth="1"/>
    <col min="22" max="16384" width="8.88671875" style="1"/>
  </cols>
  <sheetData>
    <row r="1" spans="1:20" ht="18" thickBot="1" x14ac:dyDescent="0.35">
      <c r="A1" s="154" t="s">
        <v>379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73"/>
      <c r="R1" s="173"/>
      <c r="S1" s="173"/>
      <c r="T1" s="173"/>
    </row>
    <row r="2" spans="1:20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1</v>
      </c>
      <c r="F2" s="23">
        <f t="shared" ref="F2:N2" si="0">E2+1</f>
        <v>2</v>
      </c>
      <c r="G2" s="23">
        <f t="shared" si="0"/>
        <v>3</v>
      </c>
      <c r="H2" s="23">
        <f t="shared" si="0"/>
        <v>4</v>
      </c>
      <c r="I2" s="23">
        <f t="shared" si="0"/>
        <v>5</v>
      </c>
      <c r="J2" s="23">
        <f t="shared" si="0"/>
        <v>6</v>
      </c>
      <c r="K2" s="23">
        <f t="shared" si="0"/>
        <v>7</v>
      </c>
      <c r="L2" s="23">
        <f t="shared" si="0"/>
        <v>8</v>
      </c>
      <c r="M2" s="23">
        <f t="shared" si="0"/>
        <v>9</v>
      </c>
      <c r="N2" s="23">
        <f t="shared" si="0"/>
        <v>10</v>
      </c>
      <c r="O2" s="432" t="s">
        <v>6</v>
      </c>
      <c r="P2" s="434" t="s">
        <v>7</v>
      </c>
      <c r="Q2" s="426" t="s">
        <v>357</v>
      </c>
      <c r="R2" s="410" t="s">
        <v>30</v>
      </c>
      <c r="S2" s="428" t="s">
        <v>33</v>
      </c>
      <c r="T2" s="430" t="s">
        <v>127</v>
      </c>
    </row>
    <row r="3" spans="1:20" s="3" customFormat="1" ht="16.2" thickBot="1" x14ac:dyDescent="0.35">
      <c r="A3" s="415"/>
      <c r="B3" s="417"/>
      <c r="C3" s="417"/>
      <c r="D3" s="425"/>
      <c r="E3" s="125" t="s">
        <v>97</v>
      </c>
      <c r="F3" s="213" t="s">
        <v>96</v>
      </c>
      <c r="G3" s="213" t="s">
        <v>98</v>
      </c>
      <c r="H3" s="207" t="s">
        <v>99</v>
      </c>
      <c r="I3" s="213" t="s">
        <v>93</v>
      </c>
      <c r="J3" s="213" t="s">
        <v>94</v>
      </c>
      <c r="K3" s="213" t="s">
        <v>95</v>
      </c>
      <c r="L3" s="207" t="s">
        <v>97</v>
      </c>
      <c r="M3" s="213" t="s">
        <v>96</v>
      </c>
      <c r="N3" s="213" t="s">
        <v>98</v>
      </c>
      <c r="O3" s="433"/>
      <c r="P3" s="435"/>
      <c r="Q3" s="427"/>
      <c r="R3" s="411"/>
      <c r="S3" s="429"/>
      <c r="T3" s="431"/>
    </row>
    <row r="4" spans="1:20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134" t="s">
        <v>9</v>
      </c>
      <c r="F4" s="135" t="s">
        <v>9</v>
      </c>
      <c r="G4" s="135" t="s">
        <v>9</v>
      </c>
      <c r="H4" s="136" t="s">
        <v>9</v>
      </c>
      <c r="I4" s="135"/>
      <c r="J4" s="135" t="s">
        <v>9</v>
      </c>
      <c r="K4" s="209" t="s">
        <v>9</v>
      </c>
      <c r="L4" s="209" t="s">
        <v>9</v>
      </c>
      <c r="M4" s="209" t="s">
        <v>9</v>
      </c>
      <c r="N4" s="209" t="s">
        <v>9</v>
      </c>
      <c r="O4" s="240">
        <f t="shared" ref="O4:O35" si="1">COUNTIF(E4:N4,"X")</f>
        <v>9</v>
      </c>
      <c r="P4" s="241">
        <f>COUNTIF(E4:I4,"X/2")/2</f>
        <v>0</v>
      </c>
      <c r="Q4" s="236">
        <f t="shared" ref="Q4:Q65" si="2">SUM(O4:P4)</f>
        <v>9</v>
      </c>
      <c r="R4" s="124">
        <v>550000</v>
      </c>
      <c r="S4" s="88">
        <f t="shared" ref="S4:S67" si="3">Q4*R4</f>
        <v>4950000</v>
      </c>
      <c r="T4" s="258">
        <v>5000000</v>
      </c>
    </row>
    <row r="5" spans="1:20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 t="s">
        <v>9</v>
      </c>
      <c r="G5" s="21" t="s">
        <v>9</v>
      </c>
      <c r="H5" s="35" t="s">
        <v>9</v>
      </c>
      <c r="I5" s="21"/>
      <c r="J5" s="21" t="s">
        <v>9</v>
      </c>
      <c r="K5" s="210" t="s">
        <v>9</v>
      </c>
      <c r="L5" s="210" t="s">
        <v>9</v>
      </c>
      <c r="M5" s="210" t="s">
        <v>9</v>
      </c>
      <c r="N5" s="210" t="s">
        <v>9</v>
      </c>
      <c r="O5" s="242">
        <f t="shared" si="1"/>
        <v>8</v>
      </c>
      <c r="P5" s="243">
        <f t="shared" ref="P5:P36" si="4">COUNTIF(E5:N5,"X/2")/2</f>
        <v>0</v>
      </c>
      <c r="Q5" s="237">
        <f t="shared" si="2"/>
        <v>8</v>
      </c>
      <c r="R5" s="52">
        <v>380000</v>
      </c>
      <c r="S5" s="77">
        <f t="shared" si="3"/>
        <v>3040000</v>
      </c>
      <c r="T5" s="251"/>
    </row>
    <row r="6" spans="1:20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 t="s">
        <v>9</v>
      </c>
      <c r="F6" s="21" t="s">
        <v>9</v>
      </c>
      <c r="G6" s="21" t="s">
        <v>9</v>
      </c>
      <c r="H6" s="35" t="s">
        <v>9</v>
      </c>
      <c r="I6" s="21"/>
      <c r="J6" s="21" t="s">
        <v>9</v>
      </c>
      <c r="K6" s="210" t="s">
        <v>9</v>
      </c>
      <c r="L6" s="210" t="s">
        <v>9</v>
      </c>
      <c r="M6" s="210" t="s">
        <v>9</v>
      </c>
      <c r="N6" s="210" t="s">
        <v>9</v>
      </c>
      <c r="O6" s="242">
        <f t="shared" si="1"/>
        <v>9</v>
      </c>
      <c r="P6" s="243">
        <f t="shared" si="4"/>
        <v>0</v>
      </c>
      <c r="Q6" s="237">
        <f t="shared" si="2"/>
        <v>9</v>
      </c>
      <c r="R6" s="52">
        <v>370000</v>
      </c>
      <c r="S6" s="77">
        <f t="shared" si="3"/>
        <v>3330000</v>
      </c>
      <c r="T6" s="251"/>
    </row>
    <row r="7" spans="1:20" s="31" customFormat="1" x14ac:dyDescent="0.3">
      <c r="A7" s="61">
        <f t="shared" ref="A7:A70" si="5">A6+1</f>
        <v>4</v>
      </c>
      <c r="B7" s="28" t="s">
        <v>37</v>
      </c>
      <c r="C7" s="48" t="s">
        <v>60</v>
      </c>
      <c r="D7" s="202" t="s">
        <v>4</v>
      </c>
      <c r="E7" s="41" t="s">
        <v>9</v>
      </c>
      <c r="F7" s="21" t="s">
        <v>9</v>
      </c>
      <c r="G7" s="21" t="s">
        <v>9</v>
      </c>
      <c r="H7" s="35" t="s">
        <v>9</v>
      </c>
      <c r="I7" s="21"/>
      <c r="J7" s="21"/>
      <c r="K7" s="210" t="s">
        <v>9</v>
      </c>
      <c r="L7" s="210" t="s">
        <v>9</v>
      </c>
      <c r="M7" s="210" t="s">
        <v>9</v>
      </c>
      <c r="N7" s="210" t="s">
        <v>9</v>
      </c>
      <c r="O7" s="242">
        <f t="shared" si="1"/>
        <v>8</v>
      </c>
      <c r="P7" s="243">
        <f t="shared" si="4"/>
        <v>0</v>
      </c>
      <c r="Q7" s="237">
        <f t="shared" si="2"/>
        <v>8</v>
      </c>
      <c r="R7" s="52">
        <v>370000</v>
      </c>
      <c r="S7" s="77">
        <f t="shared" si="3"/>
        <v>2960000</v>
      </c>
      <c r="T7" s="250"/>
    </row>
    <row r="8" spans="1:20" s="31" customFormat="1" x14ac:dyDescent="0.3">
      <c r="A8" s="61">
        <f t="shared" si="5"/>
        <v>5</v>
      </c>
      <c r="B8" s="28" t="s">
        <v>38</v>
      </c>
      <c r="C8" s="48" t="s">
        <v>80</v>
      </c>
      <c r="D8" s="202" t="s">
        <v>17</v>
      </c>
      <c r="E8" s="41" t="s">
        <v>9</v>
      </c>
      <c r="F8" s="21" t="s">
        <v>8</v>
      </c>
      <c r="G8" s="21" t="s">
        <v>9</v>
      </c>
      <c r="H8" s="35"/>
      <c r="I8" s="21"/>
      <c r="J8" s="21"/>
      <c r="K8" s="210" t="s">
        <v>9</v>
      </c>
      <c r="L8" s="210" t="s">
        <v>9</v>
      </c>
      <c r="M8" s="210" t="s">
        <v>9</v>
      </c>
      <c r="N8" s="210" t="s">
        <v>8</v>
      </c>
      <c r="O8" s="242">
        <f t="shared" si="1"/>
        <v>5</v>
      </c>
      <c r="P8" s="243">
        <f t="shared" si="4"/>
        <v>1</v>
      </c>
      <c r="Q8" s="237">
        <f t="shared" si="2"/>
        <v>6</v>
      </c>
      <c r="R8" s="52">
        <v>350000</v>
      </c>
      <c r="S8" s="77">
        <f t="shared" si="3"/>
        <v>2100000</v>
      </c>
      <c r="T8" s="251"/>
    </row>
    <row r="9" spans="1:20" s="31" customFormat="1" x14ac:dyDescent="0.3">
      <c r="A9" s="61">
        <f t="shared" si="5"/>
        <v>6</v>
      </c>
      <c r="B9" s="28" t="s">
        <v>145</v>
      </c>
      <c r="C9" s="48" t="s">
        <v>60</v>
      </c>
      <c r="D9" s="202" t="s">
        <v>5</v>
      </c>
      <c r="E9" s="41" t="s">
        <v>9</v>
      </c>
      <c r="F9" s="21" t="s">
        <v>9</v>
      </c>
      <c r="G9" s="21" t="s">
        <v>9</v>
      </c>
      <c r="H9" s="35"/>
      <c r="I9" s="21"/>
      <c r="J9" s="21" t="s">
        <v>9</v>
      </c>
      <c r="K9" s="210" t="s">
        <v>9</v>
      </c>
      <c r="L9" s="210" t="s">
        <v>9</v>
      </c>
      <c r="M9" s="210" t="s">
        <v>9</v>
      </c>
      <c r="N9" s="210" t="s">
        <v>9</v>
      </c>
      <c r="O9" s="242">
        <f t="shared" si="1"/>
        <v>8</v>
      </c>
      <c r="P9" s="243">
        <f t="shared" si="4"/>
        <v>0</v>
      </c>
      <c r="Q9" s="237">
        <f t="shared" si="2"/>
        <v>8</v>
      </c>
      <c r="R9" s="52">
        <v>320000</v>
      </c>
      <c r="S9" s="77">
        <f t="shared" si="3"/>
        <v>2560000</v>
      </c>
      <c r="T9" s="251"/>
    </row>
    <row r="10" spans="1:20" s="31" customFormat="1" x14ac:dyDescent="0.3">
      <c r="A10" s="61">
        <f t="shared" si="5"/>
        <v>7</v>
      </c>
      <c r="B10" s="28" t="s">
        <v>34</v>
      </c>
      <c r="C10" s="48" t="s">
        <v>80</v>
      </c>
      <c r="D10" s="202" t="s">
        <v>5</v>
      </c>
      <c r="E10" s="41" t="s">
        <v>9</v>
      </c>
      <c r="F10" s="21" t="s">
        <v>9</v>
      </c>
      <c r="G10" s="21" t="s">
        <v>9</v>
      </c>
      <c r="H10" s="35" t="s">
        <v>9</v>
      </c>
      <c r="I10" s="21"/>
      <c r="J10" s="21" t="s">
        <v>9</v>
      </c>
      <c r="K10" s="210" t="s">
        <v>9</v>
      </c>
      <c r="L10" s="210" t="s">
        <v>9</v>
      </c>
      <c r="M10" s="210" t="s">
        <v>9</v>
      </c>
      <c r="N10" s="210" t="s">
        <v>9</v>
      </c>
      <c r="O10" s="242">
        <f t="shared" si="1"/>
        <v>9</v>
      </c>
      <c r="P10" s="243">
        <f t="shared" si="4"/>
        <v>0</v>
      </c>
      <c r="Q10" s="237">
        <f t="shared" si="2"/>
        <v>9</v>
      </c>
      <c r="R10" s="52">
        <v>300000</v>
      </c>
      <c r="S10" s="77">
        <f t="shared" si="3"/>
        <v>2700000</v>
      </c>
      <c r="T10" s="252"/>
    </row>
    <row r="11" spans="1:20" s="31" customFormat="1" x14ac:dyDescent="0.3">
      <c r="A11" s="61">
        <f t="shared" si="5"/>
        <v>8</v>
      </c>
      <c r="B11" s="28" t="s">
        <v>46</v>
      </c>
      <c r="C11" s="48" t="s">
        <v>60</v>
      </c>
      <c r="D11" s="202" t="s">
        <v>5</v>
      </c>
      <c r="E11" s="41" t="s">
        <v>9</v>
      </c>
      <c r="F11" s="21" t="s">
        <v>9</v>
      </c>
      <c r="G11" s="21" t="s">
        <v>9</v>
      </c>
      <c r="H11" s="35" t="s">
        <v>9</v>
      </c>
      <c r="I11" s="21"/>
      <c r="J11" s="21" t="s">
        <v>9</v>
      </c>
      <c r="K11" s="210" t="s">
        <v>9</v>
      </c>
      <c r="L11" s="210" t="s">
        <v>9</v>
      </c>
      <c r="M11" s="210" t="s">
        <v>9</v>
      </c>
      <c r="N11" s="210" t="s">
        <v>8</v>
      </c>
      <c r="O11" s="242">
        <f t="shared" si="1"/>
        <v>8</v>
      </c>
      <c r="P11" s="243">
        <f t="shared" si="4"/>
        <v>0.5</v>
      </c>
      <c r="Q11" s="237">
        <f t="shared" si="2"/>
        <v>8.5</v>
      </c>
      <c r="R11" s="52">
        <v>360000</v>
      </c>
      <c r="S11" s="77">
        <f t="shared" si="3"/>
        <v>3060000</v>
      </c>
      <c r="T11" s="251"/>
    </row>
    <row r="12" spans="1:20" s="31" customFormat="1" x14ac:dyDescent="0.3">
      <c r="A12" s="61">
        <f t="shared" si="5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10"/>
      <c r="O12" s="242">
        <f t="shared" si="1"/>
        <v>0</v>
      </c>
      <c r="P12" s="243">
        <f t="shared" si="4"/>
        <v>0</v>
      </c>
      <c r="Q12" s="237">
        <f t="shared" si="2"/>
        <v>0</v>
      </c>
      <c r="R12" s="52">
        <v>400000</v>
      </c>
      <c r="S12" s="77">
        <f t="shared" si="3"/>
        <v>0</v>
      </c>
      <c r="T12" s="251"/>
    </row>
    <row r="13" spans="1:20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10"/>
      <c r="O13" s="242">
        <f t="shared" si="1"/>
        <v>0</v>
      </c>
      <c r="P13" s="243">
        <f t="shared" si="4"/>
        <v>0</v>
      </c>
      <c r="Q13" s="237">
        <f t="shared" si="2"/>
        <v>0</v>
      </c>
      <c r="R13" s="52">
        <v>280000</v>
      </c>
      <c r="S13" s="77">
        <f t="shared" si="3"/>
        <v>0</v>
      </c>
      <c r="T13" s="251"/>
    </row>
    <row r="14" spans="1:20" s="31" customFormat="1" x14ac:dyDescent="0.3">
      <c r="A14" s="61">
        <f t="shared" si="5"/>
        <v>11</v>
      </c>
      <c r="B14" s="28" t="s">
        <v>41</v>
      </c>
      <c r="C14" s="48" t="s">
        <v>80</v>
      </c>
      <c r="D14" s="202" t="s">
        <v>4</v>
      </c>
      <c r="E14" s="41" t="s">
        <v>9</v>
      </c>
      <c r="F14" s="21" t="s">
        <v>9</v>
      </c>
      <c r="G14" s="21" t="s">
        <v>9</v>
      </c>
      <c r="H14" s="35" t="s">
        <v>9</v>
      </c>
      <c r="I14" s="21"/>
      <c r="J14" s="21" t="s">
        <v>9</v>
      </c>
      <c r="K14" s="210" t="s">
        <v>9</v>
      </c>
      <c r="L14" s="210" t="s">
        <v>9</v>
      </c>
      <c r="M14" s="210" t="s">
        <v>9</v>
      </c>
      <c r="N14" s="210" t="s">
        <v>9</v>
      </c>
      <c r="O14" s="242">
        <f t="shared" si="1"/>
        <v>9</v>
      </c>
      <c r="P14" s="243">
        <f t="shared" si="4"/>
        <v>0</v>
      </c>
      <c r="Q14" s="237">
        <f t="shared" si="2"/>
        <v>9</v>
      </c>
      <c r="R14" s="52">
        <v>400000</v>
      </c>
      <c r="S14" s="77">
        <f t="shared" si="3"/>
        <v>3600000</v>
      </c>
      <c r="T14" s="251"/>
    </row>
    <row r="15" spans="1:20" s="31" customFormat="1" x14ac:dyDescent="0.3">
      <c r="A15" s="61">
        <f t="shared" si="5"/>
        <v>12</v>
      </c>
      <c r="B15" s="28" t="s">
        <v>47</v>
      </c>
      <c r="C15" s="48"/>
      <c r="D15" s="202" t="s">
        <v>4</v>
      </c>
      <c r="E15" s="41" t="s">
        <v>9</v>
      </c>
      <c r="F15" s="21" t="s">
        <v>9</v>
      </c>
      <c r="G15" s="21" t="s">
        <v>9</v>
      </c>
      <c r="H15" s="35" t="s">
        <v>9</v>
      </c>
      <c r="I15" s="21"/>
      <c r="J15" s="21" t="s">
        <v>9</v>
      </c>
      <c r="K15" s="210" t="s">
        <v>9</v>
      </c>
      <c r="L15" s="210" t="s">
        <v>9</v>
      </c>
      <c r="M15" s="210" t="s">
        <v>9</v>
      </c>
      <c r="N15" s="210" t="s">
        <v>9</v>
      </c>
      <c r="O15" s="242">
        <f t="shared" si="1"/>
        <v>9</v>
      </c>
      <c r="P15" s="243">
        <f t="shared" si="4"/>
        <v>0</v>
      </c>
      <c r="Q15" s="237">
        <f t="shared" si="2"/>
        <v>9</v>
      </c>
      <c r="R15" s="52">
        <v>390000</v>
      </c>
      <c r="S15" s="77">
        <f t="shared" si="3"/>
        <v>3510000</v>
      </c>
      <c r="T15" s="251"/>
    </row>
    <row r="16" spans="1:20" s="31" customFormat="1" x14ac:dyDescent="0.3">
      <c r="A16" s="61">
        <f t="shared" si="5"/>
        <v>13</v>
      </c>
      <c r="B16" s="28" t="s">
        <v>61</v>
      </c>
      <c r="C16" s="48" t="s">
        <v>60</v>
      </c>
      <c r="D16" s="203" t="s">
        <v>4</v>
      </c>
      <c r="E16" s="41" t="s">
        <v>9</v>
      </c>
      <c r="F16" s="21" t="s">
        <v>9</v>
      </c>
      <c r="G16" s="21" t="s">
        <v>9</v>
      </c>
      <c r="H16" s="35" t="s">
        <v>9</v>
      </c>
      <c r="I16" s="21"/>
      <c r="J16" s="21" t="s">
        <v>9</v>
      </c>
      <c r="K16" s="210" t="s">
        <v>9</v>
      </c>
      <c r="L16" s="210" t="s">
        <v>9</v>
      </c>
      <c r="M16" s="210" t="s">
        <v>9</v>
      </c>
      <c r="N16" s="210" t="s">
        <v>9</v>
      </c>
      <c r="O16" s="242">
        <f t="shared" si="1"/>
        <v>9</v>
      </c>
      <c r="P16" s="243">
        <f t="shared" si="4"/>
        <v>0</v>
      </c>
      <c r="Q16" s="237">
        <f t="shared" si="2"/>
        <v>9</v>
      </c>
      <c r="R16" s="53">
        <v>370000</v>
      </c>
      <c r="S16" s="77">
        <f t="shared" si="3"/>
        <v>3330000</v>
      </c>
      <c r="T16" s="251"/>
    </row>
    <row r="17" spans="1:20" s="31" customFormat="1" x14ac:dyDescent="0.3">
      <c r="A17" s="61">
        <f t="shared" si="5"/>
        <v>14</v>
      </c>
      <c r="B17" s="28" t="s">
        <v>62</v>
      </c>
      <c r="C17" s="48"/>
      <c r="D17" s="203" t="s">
        <v>4</v>
      </c>
      <c r="E17" s="41" t="s">
        <v>9</v>
      </c>
      <c r="F17" s="21" t="s">
        <v>9</v>
      </c>
      <c r="G17" s="21"/>
      <c r="H17" s="35"/>
      <c r="I17" s="21"/>
      <c r="J17" s="21" t="s">
        <v>9</v>
      </c>
      <c r="K17" s="210" t="s">
        <v>9</v>
      </c>
      <c r="L17" s="210" t="s">
        <v>9</v>
      </c>
      <c r="M17" s="210"/>
      <c r="N17" s="210"/>
      <c r="O17" s="242">
        <f t="shared" si="1"/>
        <v>5</v>
      </c>
      <c r="P17" s="243">
        <f t="shared" si="4"/>
        <v>0</v>
      </c>
      <c r="Q17" s="237">
        <f t="shared" si="2"/>
        <v>5</v>
      </c>
      <c r="R17" s="53">
        <v>360000</v>
      </c>
      <c r="S17" s="77">
        <f t="shared" si="3"/>
        <v>1800000</v>
      </c>
      <c r="T17" s="251"/>
    </row>
    <row r="18" spans="1:20" s="31" customFormat="1" x14ac:dyDescent="0.3">
      <c r="A18" s="61">
        <f t="shared" si="5"/>
        <v>15</v>
      </c>
      <c r="B18" s="28" t="s">
        <v>63</v>
      </c>
      <c r="C18" s="48" t="s">
        <v>60</v>
      </c>
      <c r="D18" s="203" t="s">
        <v>4</v>
      </c>
      <c r="E18" s="41" t="s">
        <v>9</v>
      </c>
      <c r="F18" s="21" t="s">
        <v>9</v>
      </c>
      <c r="G18" s="21" t="s">
        <v>9</v>
      </c>
      <c r="H18" s="35" t="s">
        <v>9</v>
      </c>
      <c r="I18" s="21"/>
      <c r="J18" s="21"/>
      <c r="K18" s="210"/>
      <c r="L18" s="210" t="s">
        <v>9</v>
      </c>
      <c r="M18" s="210" t="s">
        <v>9</v>
      </c>
      <c r="N18" s="210" t="s">
        <v>9</v>
      </c>
      <c r="O18" s="242">
        <f t="shared" si="1"/>
        <v>7</v>
      </c>
      <c r="P18" s="243">
        <f t="shared" si="4"/>
        <v>0</v>
      </c>
      <c r="Q18" s="237">
        <f t="shared" si="2"/>
        <v>7</v>
      </c>
      <c r="R18" s="53">
        <v>380000</v>
      </c>
      <c r="S18" s="77">
        <f t="shared" si="3"/>
        <v>2660000</v>
      </c>
      <c r="T18" s="251"/>
    </row>
    <row r="19" spans="1:20" s="31" customFormat="1" x14ac:dyDescent="0.3">
      <c r="A19" s="61">
        <f t="shared" si="5"/>
        <v>16</v>
      </c>
      <c r="B19" s="28" t="s">
        <v>59</v>
      </c>
      <c r="C19" s="48" t="s">
        <v>60</v>
      </c>
      <c r="D19" s="203" t="s">
        <v>5</v>
      </c>
      <c r="E19" s="41" t="s">
        <v>9</v>
      </c>
      <c r="F19" s="21" t="s">
        <v>9</v>
      </c>
      <c r="G19" s="21" t="s">
        <v>9</v>
      </c>
      <c r="H19" s="35" t="s">
        <v>9</v>
      </c>
      <c r="I19" s="21"/>
      <c r="J19" s="21" t="s">
        <v>9</v>
      </c>
      <c r="K19" s="210" t="s">
        <v>9</v>
      </c>
      <c r="L19" s="210" t="s">
        <v>9</v>
      </c>
      <c r="M19" s="210"/>
      <c r="N19" s="210"/>
      <c r="O19" s="242">
        <f t="shared" si="1"/>
        <v>7</v>
      </c>
      <c r="P19" s="243">
        <f t="shared" si="4"/>
        <v>0</v>
      </c>
      <c r="Q19" s="237">
        <f t="shared" si="2"/>
        <v>7</v>
      </c>
      <c r="R19" s="53">
        <v>270000</v>
      </c>
      <c r="S19" s="77">
        <f t="shared" si="3"/>
        <v>1890000</v>
      </c>
      <c r="T19" s="251"/>
    </row>
    <row r="20" spans="1:20" s="31" customFormat="1" x14ac:dyDescent="0.3">
      <c r="A20" s="61">
        <f t="shared" si="5"/>
        <v>17</v>
      </c>
      <c r="B20" s="28" t="s">
        <v>64</v>
      </c>
      <c r="C20" s="48" t="s">
        <v>60</v>
      </c>
      <c r="D20" s="203" t="s">
        <v>4</v>
      </c>
      <c r="E20" s="41" t="s">
        <v>9</v>
      </c>
      <c r="F20" s="21" t="s">
        <v>9</v>
      </c>
      <c r="G20" s="21" t="s">
        <v>9</v>
      </c>
      <c r="H20" s="35"/>
      <c r="I20" s="21"/>
      <c r="J20" s="21"/>
      <c r="K20" s="210"/>
      <c r="L20" s="210" t="s">
        <v>9</v>
      </c>
      <c r="M20" s="210" t="s">
        <v>9</v>
      </c>
      <c r="N20" s="210" t="s">
        <v>9</v>
      </c>
      <c r="O20" s="242">
        <f t="shared" si="1"/>
        <v>6</v>
      </c>
      <c r="P20" s="243">
        <f t="shared" si="4"/>
        <v>0</v>
      </c>
      <c r="Q20" s="237">
        <f t="shared" si="2"/>
        <v>6</v>
      </c>
      <c r="R20" s="53">
        <v>380000</v>
      </c>
      <c r="S20" s="77">
        <f t="shared" si="3"/>
        <v>2280000</v>
      </c>
      <c r="T20" s="251"/>
    </row>
    <row r="21" spans="1:20" s="55" customFormat="1" x14ac:dyDescent="0.3">
      <c r="A21" s="61">
        <f t="shared" si="5"/>
        <v>18</v>
      </c>
      <c r="B21" s="158" t="s">
        <v>65</v>
      </c>
      <c r="C21" s="29" t="s">
        <v>60</v>
      </c>
      <c r="D21" s="203" t="s">
        <v>4</v>
      </c>
      <c r="E21" s="41"/>
      <c r="F21" s="21"/>
      <c r="G21" s="21"/>
      <c r="H21" s="35"/>
      <c r="I21" s="21"/>
      <c r="J21" s="21"/>
      <c r="K21" s="210"/>
      <c r="L21" s="210"/>
      <c r="M21" s="210"/>
      <c r="N21" s="210"/>
      <c r="O21" s="242">
        <f t="shared" si="1"/>
        <v>0</v>
      </c>
      <c r="P21" s="243">
        <f t="shared" si="4"/>
        <v>0</v>
      </c>
      <c r="Q21" s="237">
        <f t="shared" si="2"/>
        <v>0</v>
      </c>
      <c r="R21" s="53">
        <v>370000</v>
      </c>
      <c r="S21" s="77">
        <f t="shared" si="3"/>
        <v>0</v>
      </c>
      <c r="T21" s="252"/>
    </row>
    <row r="22" spans="1:20" s="31" customFormat="1" x14ac:dyDescent="0.3">
      <c r="A22" s="61">
        <f t="shared" si="5"/>
        <v>19</v>
      </c>
      <c r="B22" s="48" t="s">
        <v>126</v>
      </c>
      <c r="C22" s="48"/>
      <c r="D22" s="204" t="s">
        <v>5</v>
      </c>
      <c r="E22" s="41"/>
      <c r="F22" s="21"/>
      <c r="G22" s="21"/>
      <c r="H22" s="35"/>
      <c r="I22" s="21"/>
      <c r="J22" s="21"/>
      <c r="K22" s="210"/>
      <c r="L22" s="210"/>
      <c r="M22" s="210"/>
      <c r="N22" s="210"/>
      <c r="O22" s="242">
        <f t="shared" si="1"/>
        <v>0</v>
      </c>
      <c r="P22" s="243">
        <f t="shared" si="4"/>
        <v>0</v>
      </c>
      <c r="Q22" s="237">
        <f t="shared" si="2"/>
        <v>0</v>
      </c>
      <c r="R22" s="52">
        <v>280000</v>
      </c>
      <c r="S22" s="77">
        <f t="shared" si="3"/>
        <v>0</v>
      </c>
      <c r="T22" s="251"/>
    </row>
    <row r="23" spans="1:20" s="31" customFormat="1" x14ac:dyDescent="0.3">
      <c r="A23" s="61">
        <f t="shared" si="5"/>
        <v>20</v>
      </c>
      <c r="B23" s="116" t="s">
        <v>143</v>
      </c>
      <c r="C23" s="116"/>
      <c r="D23" s="205" t="s">
        <v>4</v>
      </c>
      <c r="E23" s="41" t="s">
        <v>9</v>
      </c>
      <c r="F23" s="21" t="s">
        <v>9</v>
      </c>
      <c r="G23" s="21" t="s">
        <v>9</v>
      </c>
      <c r="H23" s="35" t="s">
        <v>9</v>
      </c>
      <c r="I23" s="21"/>
      <c r="J23" s="21" t="s">
        <v>9</v>
      </c>
      <c r="K23" s="210" t="s">
        <v>9</v>
      </c>
      <c r="L23" s="210" t="s">
        <v>9</v>
      </c>
      <c r="M23" s="210"/>
      <c r="N23" s="210" t="s">
        <v>9</v>
      </c>
      <c r="O23" s="242">
        <f t="shared" si="1"/>
        <v>8</v>
      </c>
      <c r="P23" s="243">
        <f t="shared" si="4"/>
        <v>0</v>
      </c>
      <c r="Q23" s="237">
        <f t="shared" si="2"/>
        <v>8</v>
      </c>
      <c r="R23" s="53">
        <v>380000</v>
      </c>
      <c r="S23" s="77">
        <f t="shared" si="3"/>
        <v>3040000</v>
      </c>
      <c r="T23" s="253"/>
    </row>
    <row r="24" spans="1:20" s="31" customFormat="1" x14ac:dyDescent="0.3">
      <c r="A24" s="61">
        <f t="shared" si="5"/>
        <v>21</v>
      </c>
      <c r="B24" s="116" t="s">
        <v>144</v>
      </c>
      <c r="C24" s="116"/>
      <c r="D24" s="205" t="s">
        <v>4</v>
      </c>
      <c r="E24" s="41" t="s">
        <v>9</v>
      </c>
      <c r="F24" s="21" t="s">
        <v>9</v>
      </c>
      <c r="G24" s="21" t="s">
        <v>9</v>
      </c>
      <c r="H24" s="35" t="s">
        <v>9</v>
      </c>
      <c r="I24" s="21"/>
      <c r="J24" s="21" t="s">
        <v>9</v>
      </c>
      <c r="K24" s="210" t="s">
        <v>9</v>
      </c>
      <c r="L24" s="210" t="s">
        <v>9</v>
      </c>
      <c r="M24" s="210"/>
      <c r="N24" s="210" t="s">
        <v>9</v>
      </c>
      <c r="O24" s="242">
        <f t="shared" si="1"/>
        <v>8</v>
      </c>
      <c r="P24" s="243">
        <f t="shared" si="4"/>
        <v>0</v>
      </c>
      <c r="Q24" s="237">
        <f t="shared" si="2"/>
        <v>8</v>
      </c>
      <c r="R24" s="53">
        <v>280000</v>
      </c>
      <c r="S24" s="77">
        <f t="shared" si="3"/>
        <v>2240000</v>
      </c>
      <c r="T24" s="253"/>
    </row>
    <row r="25" spans="1:20" s="31" customFormat="1" x14ac:dyDescent="0.3">
      <c r="A25" s="61">
        <f t="shared" si="5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10"/>
      <c r="O25" s="242">
        <f t="shared" si="1"/>
        <v>0</v>
      </c>
      <c r="P25" s="243">
        <f t="shared" si="4"/>
        <v>0</v>
      </c>
      <c r="Q25" s="237">
        <f t="shared" si="2"/>
        <v>0</v>
      </c>
      <c r="R25" s="53">
        <v>270000</v>
      </c>
      <c r="S25" s="77">
        <f t="shared" si="3"/>
        <v>0</v>
      </c>
      <c r="T25" s="253"/>
    </row>
    <row r="26" spans="1:20" s="31" customFormat="1" x14ac:dyDescent="0.3">
      <c r="A26" s="61">
        <f t="shared" si="5"/>
        <v>23</v>
      </c>
      <c r="B26" s="116" t="s">
        <v>171</v>
      </c>
      <c r="C26" s="116"/>
      <c r="D26" s="205" t="s">
        <v>5</v>
      </c>
      <c r="E26" s="127" t="s">
        <v>9</v>
      </c>
      <c r="F26" s="21" t="s">
        <v>9</v>
      </c>
      <c r="G26" s="21" t="s">
        <v>9</v>
      </c>
      <c r="H26" s="35"/>
      <c r="I26" s="21"/>
      <c r="J26" s="21" t="s">
        <v>9</v>
      </c>
      <c r="K26" s="210" t="s">
        <v>9</v>
      </c>
      <c r="L26" s="210" t="s">
        <v>9</v>
      </c>
      <c r="M26" s="210" t="s">
        <v>9</v>
      </c>
      <c r="N26" s="210" t="s">
        <v>9</v>
      </c>
      <c r="O26" s="242">
        <f t="shared" si="1"/>
        <v>8</v>
      </c>
      <c r="P26" s="243">
        <f t="shared" si="4"/>
        <v>0</v>
      </c>
      <c r="Q26" s="238">
        <f t="shared" si="2"/>
        <v>8</v>
      </c>
      <c r="R26" s="53">
        <v>280000</v>
      </c>
      <c r="S26" s="54">
        <f t="shared" si="3"/>
        <v>2240000</v>
      </c>
      <c r="T26" s="253"/>
    </row>
    <row r="27" spans="1:20" s="31" customFormat="1" x14ac:dyDescent="0.3">
      <c r="A27" s="61">
        <f t="shared" si="5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211"/>
      <c r="O27" s="242">
        <f t="shared" si="1"/>
        <v>0</v>
      </c>
      <c r="P27" s="243">
        <f t="shared" si="4"/>
        <v>0</v>
      </c>
      <c r="Q27" s="238">
        <f t="shared" si="2"/>
        <v>0</v>
      </c>
      <c r="R27" s="53">
        <v>370000</v>
      </c>
      <c r="S27" s="54">
        <f t="shared" si="3"/>
        <v>0</v>
      </c>
      <c r="T27" s="253"/>
    </row>
    <row r="28" spans="1:20" s="31" customFormat="1" x14ac:dyDescent="0.3">
      <c r="A28" s="61">
        <v>25</v>
      </c>
      <c r="B28" s="116" t="s">
        <v>194</v>
      </c>
      <c r="C28" s="116"/>
      <c r="D28" s="205" t="s">
        <v>4</v>
      </c>
      <c r="E28" s="127" t="s">
        <v>9</v>
      </c>
      <c r="F28" s="32" t="s">
        <v>9</v>
      </c>
      <c r="G28" s="32" t="s">
        <v>9</v>
      </c>
      <c r="H28" s="36"/>
      <c r="I28" s="32"/>
      <c r="J28" s="32" t="s">
        <v>9</v>
      </c>
      <c r="K28" s="211" t="s">
        <v>9</v>
      </c>
      <c r="L28" s="211" t="s">
        <v>8</v>
      </c>
      <c r="M28" s="211" t="s">
        <v>9</v>
      </c>
      <c r="N28" s="211" t="s">
        <v>9</v>
      </c>
      <c r="O28" s="242">
        <f t="shared" si="1"/>
        <v>7</v>
      </c>
      <c r="P28" s="243">
        <f t="shared" si="4"/>
        <v>0.5</v>
      </c>
      <c r="Q28" s="238">
        <f t="shared" si="2"/>
        <v>7.5</v>
      </c>
      <c r="R28" s="53">
        <v>380000</v>
      </c>
      <c r="S28" s="54">
        <f t="shared" si="3"/>
        <v>2850000</v>
      </c>
      <c r="T28" s="253"/>
    </row>
    <row r="29" spans="1:20" s="31" customFormat="1" x14ac:dyDescent="0.3">
      <c r="A29" s="61">
        <f t="shared" si="5"/>
        <v>26</v>
      </c>
      <c r="B29" s="116" t="s">
        <v>220</v>
      </c>
      <c r="C29" s="116"/>
      <c r="D29" s="205" t="s">
        <v>4</v>
      </c>
      <c r="E29" s="127"/>
      <c r="F29" s="32" t="s">
        <v>9</v>
      </c>
      <c r="G29" s="32" t="s">
        <v>9</v>
      </c>
      <c r="H29" s="36" t="s">
        <v>9</v>
      </c>
      <c r="I29" s="32"/>
      <c r="J29" s="32" t="s">
        <v>9</v>
      </c>
      <c r="K29" s="211" t="s">
        <v>9</v>
      </c>
      <c r="L29" s="211" t="s">
        <v>9</v>
      </c>
      <c r="M29" s="211" t="s">
        <v>8</v>
      </c>
      <c r="N29" s="211" t="s">
        <v>9</v>
      </c>
      <c r="O29" s="242">
        <f t="shared" si="1"/>
        <v>7</v>
      </c>
      <c r="P29" s="243">
        <f t="shared" si="4"/>
        <v>0.5</v>
      </c>
      <c r="Q29" s="238">
        <f t="shared" si="2"/>
        <v>7.5</v>
      </c>
      <c r="R29" s="53">
        <v>370000</v>
      </c>
      <c r="S29" s="54">
        <f t="shared" si="3"/>
        <v>2775000</v>
      </c>
      <c r="T29" s="253"/>
    </row>
    <row r="30" spans="1:20" s="31" customFormat="1" x14ac:dyDescent="0.3">
      <c r="A30" s="61">
        <f t="shared" si="5"/>
        <v>27</v>
      </c>
      <c r="B30" s="116" t="s">
        <v>221</v>
      </c>
      <c r="C30" s="116"/>
      <c r="D30" s="205" t="s">
        <v>4</v>
      </c>
      <c r="E30" s="127" t="s">
        <v>9</v>
      </c>
      <c r="F30" s="32" t="s">
        <v>9</v>
      </c>
      <c r="G30" s="32" t="s">
        <v>9</v>
      </c>
      <c r="H30" s="36" t="s">
        <v>9</v>
      </c>
      <c r="I30" s="32"/>
      <c r="J30" s="32"/>
      <c r="K30" s="211"/>
      <c r="L30" s="211"/>
      <c r="M30" s="211"/>
      <c r="N30" s="211"/>
      <c r="O30" s="242">
        <f t="shared" si="1"/>
        <v>4</v>
      </c>
      <c r="P30" s="243">
        <f t="shared" si="4"/>
        <v>0</v>
      </c>
      <c r="Q30" s="238">
        <f t="shared" si="2"/>
        <v>4</v>
      </c>
      <c r="R30" s="53">
        <v>380000</v>
      </c>
      <c r="S30" s="54">
        <f t="shared" si="3"/>
        <v>1520000</v>
      </c>
      <c r="T30" s="253"/>
    </row>
    <row r="31" spans="1:20" s="31" customFormat="1" x14ac:dyDescent="0.3">
      <c r="A31" s="61">
        <f t="shared" si="5"/>
        <v>28</v>
      </c>
      <c r="B31" s="48" t="s">
        <v>222</v>
      </c>
      <c r="C31" s="48"/>
      <c r="D31" s="204" t="s">
        <v>4</v>
      </c>
      <c r="E31" s="41" t="s">
        <v>9</v>
      </c>
      <c r="F31" s="32" t="s">
        <v>9</v>
      </c>
      <c r="G31" s="32" t="s">
        <v>9</v>
      </c>
      <c r="H31" s="36" t="s">
        <v>9</v>
      </c>
      <c r="I31" s="32"/>
      <c r="J31" s="32" t="s">
        <v>9</v>
      </c>
      <c r="K31" s="211"/>
      <c r="L31" s="211" t="s">
        <v>9</v>
      </c>
      <c r="M31" s="211" t="s">
        <v>9</v>
      </c>
      <c r="N31" s="211" t="s">
        <v>9</v>
      </c>
      <c r="O31" s="242">
        <f t="shared" si="1"/>
        <v>8</v>
      </c>
      <c r="P31" s="243">
        <f t="shared" si="4"/>
        <v>0</v>
      </c>
      <c r="Q31" s="238">
        <f t="shared" si="2"/>
        <v>8</v>
      </c>
      <c r="R31" s="53">
        <v>360000</v>
      </c>
      <c r="S31" s="54">
        <f t="shared" si="3"/>
        <v>2880000</v>
      </c>
      <c r="T31" s="253"/>
    </row>
    <row r="32" spans="1:20" s="31" customFormat="1" x14ac:dyDescent="0.3">
      <c r="A32" s="61">
        <f t="shared" si="5"/>
        <v>29</v>
      </c>
      <c r="B32" s="116" t="s">
        <v>223</v>
      </c>
      <c r="C32" s="116"/>
      <c r="D32" s="205" t="s">
        <v>5</v>
      </c>
      <c r="E32" s="41" t="s">
        <v>9</v>
      </c>
      <c r="F32" s="32" t="s">
        <v>9</v>
      </c>
      <c r="G32" s="32" t="s">
        <v>9</v>
      </c>
      <c r="H32" s="36"/>
      <c r="I32" s="32"/>
      <c r="J32" s="32" t="s">
        <v>9</v>
      </c>
      <c r="K32" s="211" t="s">
        <v>9</v>
      </c>
      <c r="L32" s="211" t="s">
        <v>9</v>
      </c>
      <c r="M32" s="211" t="s">
        <v>9</v>
      </c>
      <c r="N32" s="211" t="s">
        <v>9</v>
      </c>
      <c r="O32" s="242">
        <f t="shared" si="1"/>
        <v>8</v>
      </c>
      <c r="P32" s="243">
        <f t="shared" si="4"/>
        <v>0</v>
      </c>
      <c r="Q32" s="238">
        <f t="shared" si="2"/>
        <v>8</v>
      </c>
      <c r="R32" s="53">
        <v>280000</v>
      </c>
      <c r="S32" s="54">
        <f>Q32*R32+200000</f>
        <v>2440000</v>
      </c>
      <c r="T32" s="253"/>
    </row>
    <row r="33" spans="1:20" s="31" customFormat="1" x14ac:dyDescent="0.3">
      <c r="A33" s="61">
        <f t="shared" si="5"/>
        <v>30</v>
      </c>
      <c r="B33" s="116" t="s">
        <v>224</v>
      </c>
      <c r="C33" s="116"/>
      <c r="D33" s="205" t="s">
        <v>4</v>
      </c>
      <c r="E33" s="127"/>
      <c r="F33" s="32" t="s">
        <v>9</v>
      </c>
      <c r="G33" s="32" t="s">
        <v>9</v>
      </c>
      <c r="H33" s="36" t="s">
        <v>9</v>
      </c>
      <c r="I33" s="32"/>
      <c r="J33" s="32" t="s">
        <v>9</v>
      </c>
      <c r="K33" s="211"/>
      <c r="L33" s="211"/>
      <c r="M33" s="211"/>
      <c r="N33" s="211"/>
      <c r="O33" s="242">
        <f t="shared" si="1"/>
        <v>4</v>
      </c>
      <c r="P33" s="243">
        <f t="shared" si="4"/>
        <v>0</v>
      </c>
      <c r="Q33" s="238">
        <f t="shared" si="2"/>
        <v>4</v>
      </c>
      <c r="R33" s="53">
        <v>370000</v>
      </c>
      <c r="S33" s="54">
        <f t="shared" si="3"/>
        <v>1480000</v>
      </c>
      <c r="T33" s="253"/>
    </row>
    <row r="34" spans="1:20" s="31" customFormat="1" x14ac:dyDescent="0.3">
      <c r="A34" s="61">
        <f t="shared" si="5"/>
        <v>31</v>
      </c>
      <c r="B34" s="116" t="s">
        <v>225</v>
      </c>
      <c r="C34" s="116"/>
      <c r="D34" s="205" t="s">
        <v>5</v>
      </c>
      <c r="E34" s="127" t="s">
        <v>9</v>
      </c>
      <c r="F34" s="32" t="s">
        <v>9</v>
      </c>
      <c r="G34" s="32" t="s">
        <v>9</v>
      </c>
      <c r="H34" s="36" t="s">
        <v>9</v>
      </c>
      <c r="I34" s="32"/>
      <c r="J34" s="32" t="s">
        <v>9</v>
      </c>
      <c r="K34" s="211"/>
      <c r="L34" s="211"/>
      <c r="M34" s="211"/>
      <c r="N34" s="211"/>
      <c r="O34" s="242">
        <f t="shared" si="1"/>
        <v>5</v>
      </c>
      <c r="P34" s="243">
        <f t="shared" si="4"/>
        <v>0</v>
      </c>
      <c r="Q34" s="238">
        <f t="shared" si="2"/>
        <v>5</v>
      </c>
      <c r="R34" s="53">
        <v>270000</v>
      </c>
      <c r="S34" s="54">
        <f t="shared" si="3"/>
        <v>1350000</v>
      </c>
      <c r="T34" s="253"/>
    </row>
    <row r="35" spans="1:20" s="31" customFormat="1" x14ac:dyDescent="0.3">
      <c r="A35" s="61">
        <f t="shared" si="5"/>
        <v>32</v>
      </c>
      <c r="B35" s="116" t="s">
        <v>226</v>
      </c>
      <c r="C35" s="116"/>
      <c r="D35" s="205" t="s">
        <v>4</v>
      </c>
      <c r="E35" s="127" t="s">
        <v>9</v>
      </c>
      <c r="F35" s="32" t="s">
        <v>9</v>
      </c>
      <c r="G35" s="32" t="s">
        <v>9</v>
      </c>
      <c r="H35" s="36"/>
      <c r="I35" s="32"/>
      <c r="J35" s="32"/>
      <c r="K35" s="211"/>
      <c r="L35" s="211"/>
      <c r="M35" s="211"/>
      <c r="N35" s="211"/>
      <c r="O35" s="242">
        <f t="shared" si="1"/>
        <v>3</v>
      </c>
      <c r="P35" s="243">
        <f t="shared" si="4"/>
        <v>0</v>
      </c>
      <c r="Q35" s="238">
        <f t="shared" si="2"/>
        <v>3</v>
      </c>
      <c r="R35" s="53">
        <v>360000</v>
      </c>
      <c r="S35" s="54">
        <f t="shared" si="3"/>
        <v>1080000</v>
      </c>
      <c r="T35" s="253"/>
    </row>
    <row r="36" spans="1:20" s="31" customFormat="1" x14ac:dyDescent="0.3">
      <c r="A36" s="61">
        <f t="shared" si="5"/>
        <v>33</v>
      </c>
      <c r="B36" s="116" t="s">
        <v>229</v>
      </c>
      <c r="C36" s="116"/>
      <c r="D36" s="205" t="s">
        <v>5</v>
      </c>
      <c r="E36" s="127" t="s">
        <v>9</v>
      </c>
      <c r="F36" s="32" t="s">
        <v>9</v>
      </c>
      <c r="G36" s="32" t="s">
        <v>9</v>
      </c>
      <c r="H36" s="36" t="s">
        <v>9</v>
      </c>
      <c r="I36" s="32"/>
      <c r="J36" s="32"/>
      <c r="K36" s="211" t="s">
        <v>9</v>
      </c>
      <c r="L36" s="211" t="s">
        <v>9</v>
      </c>
      <c r="M36" s="211" t="s">
        <v>9</v>
      </c>
      <c r="N36" s="211" t="s">
        <v>9</v>
      </c>
      <c r="O36" s="242">
        <f t="shared" ref="O36:O67" si="6">COUNTIF(E36:N36,"X")</f>
        <v>8</v>
      </c>
      <c r="P36" s="243">
        <f t="shared" si="4"/>
        <v>0</v>
      </c>
      <c r="Q36" s="238">
        <f t="shared" si="2"/>
        <v>8</v>
      </c>
      <c r="R36" s="53">
        <v>270000</v>
      </c>
      <c r="S36" s="54">
        <f t="shared" si="3"/>
        <v>2160000</v>
      </c>
      <c r="T36" s="253"/>
    </row>
    <row r="37" spans="1:20" s="55" customFormat="1" x14ac:dyDescent="0.3">
      <c r="A37" s="61">
        <f t="shared" si="5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211"/>
      <c r="O37" s="242">
        <f t="shared" si="6"/>
        <v>0</v>
      </c>
      <c r="P37" s="243">
        <f t="shared" ref="P37:P68" si="7">COUNTIF(E37:N37,"X/2")/2</f>
        <v>0</v>
      </c>
      <c r="Q37" s="238">
        <f t="shared" si="2"/>
        <v>0</v>
      </c>
      <c r="R37" s="53">
        <v>260000</v>
      </c>
      <c r="S37" s="54">
        <f t="shared" si="3"/>
        <v>0</v>
      </c>
      <c r="T37" s="254"/>
    </row>
    <row r="38" spans="1:20" s="31" customFormat="1" x14ac:dyDescent="0.3">
      <c r="A38" s="61">
        <f t="shared" si="5"/>
        <v>35</v>
      </c>
      <c r="B38" s="116" t="s">
        <v>231</v>
      </c>
      <c r="C38" s="116"/>
      <c r="D38" s="205" t="s">
        <v>4</v>
      </c>
      <c r="E38" s="127"/>
      <c r="F38" s="32"/>
      <c r="G38" s="32"/>
      <c r="H38" s="36"/>
      <c r="I38" s="32"/>
      <c r="J38" s="32"/>
      <c r="K38" s="211"/>
      <c r="L38" s="211"/>
      <c r="M38" s="211"/>
      <c r="N38" s="211"/>
      <c r="O38" s="242">
        <f t="shared" si="6"/>
        <v>0</v>
      </c>
      <c r="P38" s="243">
        <f t="shared" si="7"/>
        <v>0</v>
      </c>
      <c r="Q38" s="238">
        <f t="shared" si="2"/>
        <v>0</v>
      </c>
      <c r="R38" s="53">
        <v>360000</v>
      </c>
      <c r="S38" s="54">
        <f t="shared" si="3"/>
        <v>0</v>
      </c>
      <c r="T38" s="253"/>
    </row>
    <row r="39" spans="1:20" s="31" customFormat="1" x14ac:dyDescent="0.3">
      <c r="A39" s="61">
        <f t="shared" si="5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211"/>
      <c r="O39" s="242">
        <f t="shared" si="6"/>
        <v>0</v>
      </c>
      <c r="P39" s="243">
        <f t="shared" si="7"/>
        <v>0</v>
      </c>
      <c r="Q39" s="238">
        <f t="shared" si="2"/>
        <v>0</v>
      </c>
      <c r="R39" s="53">
        <v>360000</v>
      </c>
      <c r="S39" s="54">
        <f t="shared" si="3"/>
        <v>0</v>
      </c>
      <c r="T39" s="253"/>
    </row>
    <row r="40" spans="1:20" s="31" customFormat="1" x14ac:dyDescent="0.3">
      <c r="A40" s="61">
        <f t="shared" si="5"/>
        <v>37</v>
      </c>
      <c r="B40" s="116" t="s">
        <v>233</v>
      </c>
      <c r="C40" s="116"/>
      <c r="D40" s="205" t="s">
        <v>5</v>
      </c>
      <c r="E40" s="127" t="s">
        <v>9</v>
      </c>
      <c r="F40" s="32" t="s">
        <v>9</v>
      </c>
      <c r="G40" s="32" t="s">
        <v>9</v>
      </c>
      <c r="H40" s="36" t="s">
        <v>9</v>
      </c>
      <c r="I40" s="32"/>
      <c r="J40" s="32" t="s">
        <v>9</v>
      </c>
      <c r="K40" s="211" t="s">
        <v>9</v>
      </c>
      <c r="L40" s="211" t="s">
        <v>9</v>
      </c>
      <c r="M40" s="211" t="s">
        <v>9</v>
      </c>
      <c r="N40" s="211" t="s">
        <v>9</v>
      </c>
      <c r="O40" s="242">
        <f t="shared" si="6"/>
        <v>9</v>
      </c>
      <c r="P40" s="243">
        <f t="shared" si="7"/>
        <v>0</v>
      </c>
      <c r="Q40" s="238">
        <f t="shared" si="2"/>
        <v>9</v>
      </c>
      <c r="R40" s="53">
        <v>260000</v>
      </c>
      <c r="S40" s="54">
        <f t="shared" si="3"/>
        <v>2340000</v>
      </c>
      <c r="T40" s="253"/>
    </row>
    <row r="41" spans="1:20" s="31" customFormat="1" x14ac:dyDescent="0.3">
      <c r="A41" s="61">
        <f t="shared" si="5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211"/>
      <c r="O41" s="242">
        <f t="shared" si="6"/>
        <v>0</v>
      </c>
      <c r="P41" s="243">
        <f t="shared" si="7"/>
        <v>0</v>
      </c>
      <c r="Q41" s="238">
        <f t="shared" si="2"/>
        <v>0</v>
      </c>
      <c r="R41" s="53">
        <v>370000</v>
      </c>
      <c r="S41" s="54">
        <f t="shared" si="3"/>
        <v>0</v>
      </c>
      <c r="T41" s="253"/>
    </row>
    <row r="42" spans="1:20" s="31" customFormat="1" x14ac:dyDescent="0.3">
      <c r="A42" s="61">
        <f t="shared" si="5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211"/>
      <c r="O42" s="242">
        <f t="shared" si="6"/>
        <v>0</v>
      </c>
      <c r="P42" s="243">
        <f t="shared" si="7"/>
        <v>0</v>
      </c>
      <c r="Q42" s="238">
        <f t="shared" si="2"/>
        <v>0</v>
      </c>
      <c r="R42" s="53">
        <v>270000</v>
      </c>
      <c r="S42" s="54">
        <f t="shared" si="3"/>
        <v>0</v>
      </c>
      <c r="T42" s="253"/>
    </row>
    <row r="43" spans="1:20" s="31" customFormat="1" x14ac:dyDescent="0.3">
      <c r="A43" s="61">
        <f t="shared" si="5"/>
        <v>40</v>
      </c>
      <c r="B43" s="116" t="s">
        <v>235</v>
      </c>
      <c r="C43" s="116"/>
      <c r="D43" s="205" t="s">
        <v>4</v>
      </c>
      <c r="E43" s="127" t="s">
        <v>9</v>
      </c>
      <c r="F43" s="32"/>
      <c r="G43" s="32" t="s">
        <v>9</v>
      </c>
      <c r="H43" s="36" t="s">
        <v>9</v>
      </c>
      <c r="I43" s="32"/>
      <c r="J43" s="32" t="s">
        <v>9</v>
      </c>
      <c r="K43" s="211" t="s">
        <v>9</v>
      </c>
      <c r="L43" s="211" t="s">
        <v>9</v>
      </c>
      <c r="M43" s="211" t="s">
        <v>9</v>
      </c>
      <c r="N43" s="211"/>
      <c r="O43" s="242">
        <f t="shared" si="6"/>
        <v>7</v>
      </c>
      <c r="P43" s="243">
        <f t="shared" si="7"/>
        <v>0</v>
      </c>
      <c r="Q43" s="238">
        <f t="shared" si="2"/>
        <v>7</v>
      </c>
      <c r="R43" s="53">
        <v>360000</v>
      </c>
      <c r="S43" s="54">
        <f t="shared" si="3"/>
        <v>2520000</v>
      </c>
      <c r="T43" s="253"/>
    </row>
    <row r="44" spans="1:20" s="31" customFormat="1" x14ac:dyDescent="0.3">
      <c r="A44" s="61">
        <f t="shared" si="5"/>
        <v>41</v>
      </c>
      <c r="B44" s="116" t="s">
        <v>237</v>
      </c>
      <c r="C44" s="116"/>
      <c r="D44" s="205" t="s">
        <v>5</v>
      </c>
      <c r="E44" s="127" t="s">
        <v>9</v>
      </c>
      <c r="F44" s="32" t="s">
        <v>9</v>
      </c>
      <c r="G44" s="32" t="s">
        <v>9</v>
      </c>
      <c r="H44" s="36" t="s">
        <v>9</v>
      </c>
      <c r="I44" s="32"/>
      <c r="J44" s="32" t="s">
        <v>9</v>
      </c>
      <c r="K44" s="211" t="s">
        <v>9</v>
      </c>
      <c r="L44" s="211" t="s">
        <v>9</v>
      </c>
      <c r="M44" s="211" t="s">
        <v>9</v>
      </c>
      <c r="N44" s="211"/>
      <c r="O44" s="242">
        <f t="shared" si="6"/>
        <v>8</v>
      </c>
      <c r="P44" s="243">
        <f t="shared" si="7"/>
        <v>0</v>
      </c>
      <c r="Q44" s="238">
        <f t="shared" si="2"/>
        <v>8</v>
      </c>
      <c r="R44" s="53">
        <v>270000</v>
      </c>
      <c r="S44" s="54">
        <f t="shared" si="3"/>
        <v>2160000</v>
      </c>
      <c r="T44" s="253"/>
    </row>
    <row r="45" spans="1:20" s="31" customFormat="1" x14ac:dyDescent="0.3">
      <c r="A45" s="61">
        <f t="shared" si="5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211"/>
      <c r="O45" s="242">
        <f t="shared" si="6"/>
        <v>0</v>
      </c>
      <c r="P45" s="243">
        <f t="shared" si="7"/>
        <v>0</v>
      </c>
      <c r="Q45" s="238">
        <f t="shared" si="2"/>
        <v>0</v>
      </c>
      <c r="R45" s="53">
        <v>270000</v>
      </c>
      <c r="S45" s="54">
        <f t="shared" si="3"/>
        <v>0</v>
      </c>
      <c r="T45" s="253"/>
    </row>
    <row r="46" spans="1:20" s="31" customFormat="1" x14ac:dyDescent="0.3">
      <c r="A46" s="61">
        <f t="shared" si="5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10"/>
      <c r="O46" s="242">
        <f t="shared" si="6"/>
        <v>0</v>
      </c>
      <c r="P46" s="243">
        <f t="shared" si="7"/>
        <v>0</v>
      </c>
      <c r="Q46" s="238">
        <f t="shared" si="2"/>
        <v>0</v>
      </c>
      <c r="R46" s="53">
        <v>270000</v>
      </c>
      <c r="S46" s="54">
        <f t="shared" si="3"/>
        <v>0</v>
      </c>
      <c r="T46" s="253"/>
    </row>
    <row r="47" spans="1:20" s="31" customFormat="1" x14ac:dyDescent="0.3">
      <c r="A47" s="61">
        <f t="shared" si="5"/>
        <v>44</v>
      </c>
      <c r="B47" s="116" t="s">
        <v>240</v>
      </c>
      <c r="C47" s="116"/>
      <c r="D47" s="205" t="s">
        <v>4</v>
      </c>
      <c r="E47" s="127" t="s">
        <v>9</v>
      </c>
      <c r="F47" s="32" t="s">
        <v>9</v>
      </c>
      <c r="G47" s="32" t="s">
        <v>9</v>
      </c>
      <c r="H47" s="36" t="s">
        <v>9</v>
      </c>
      <c r="I47" s="32"/>
      <c r="J47" s="32" t="s">
        <v>9</v>
      </c>
      <c r="K47" s="211" t="s">
        <v>9</v>
      </c>
      <c r="L47" s="211" t="s">
        <v>9</v>
      </c>
      <c r="M47" s="211"/>
      <c r="N47" s="211"/>
      <c r="O47" s="242">
        <f t="shared" si="6"/>
        <v>7</v>
      </c>
      <c r="P47" s="243">
        <f t="shared" si="7"/>
        <v>0</v>
      </c>
      <c r="Q47" s="238">
        <f t="shared" si="2"/>
        <v>7</v>
      </c>
      <c r="R47" s="53">
        <v>360000</v>
      </c>
      <c r="S47" s="54">
        <f t="shared" si="3"/>
        <v>2520000</v>
      </c>
      <c r="T47" s="253"/>
    </row>
    <row r="48" spans="1:20" s="31" customFormat="1" x14ac:dyDescent="0.3">
      <c r="A48" s="61">
        <f t="shared" si="5"/>
        <v>45</v>
      </c>
      <c r="B48" s="116" t="s">
        <v>241</v>
      </c>
      <c r="C48" s="116"/>
      <c r="D48" s="205" t="s">
        <v>4</v>
      </c>
      <c r="E48" s="127" t="s">
        <v>9</v>
      </c>
      <c r="F48" s="32" t="s">
        <v>9</v>
      </c>
      <c r="G48" s="32" t="s">
        <v>9</v>
      </c>
      <c r="H48" s="36" t="s">
        <v>9</v>
      </c>
      <c r="I48" s="32"/>
      <c r="J48" s="32" t="s">
        <v>9</v>
      </c>
      <c r="K48" s="211" t="s">
        <v>9</v>
      </c>
      <c r="L48" s="211" t="s">
        <v>9</v>
      </c>
      <c r="M48" s="211" t="s">
        <v>9</v>
      </c>
      <c r="N48" s="211" t="s">
        <v>9</v>
      </c>
      <c r="O48" s="242">
        <f t="shared" si="6"/>
        <v>9</v>
      </c>
      <c r="P48" s="243">
        <f t="shared" si="7"/>
        <v>0</v>
      </c>
      <c r="Q48" s="238">
        <f t="shared" si="2"/>
        <v>9</v>
      </c>
      <c r="R48" s="53">
        <v>360000</v>
      </c>
      <c r="S48" s="54">
        <f t="shared" si="3"/>
        <v>3240000</v>
      </c>
      <c r="T48" s="253"/>
    </row>
    <row r="49" spans="1:20" s="31" customFormat="1" x14ac:dyDescent="0.3">
      <c r="A49" s="61">
        <f t="shared" si="5"/>
        <v>46</v>
      </c>
      <c r="B49" s="116" t="s">
        <v>242</v>
      </c>
      <c r="C49" s="116"/>
      <c r="D49" s="205" t="s">
        <v>5</v>
      </c>
      <c r="E49" s="127" t="s">
        <v>9</v>
      </c>
      <c r="F49" s="32" t="s">
        <v>9</v>
      </c>
      <c r="G49" s="32" t="s">
        <v>9</v>
      </c>
      <c r="H49" s="36" t="s">
        <v>9</v>
      </c>
      <c r="I49" s="32"/>
      <c r="J49" s="32" t="s">
        <v>9</v>
      </c>
      <c r="K49" s="211" t="s">
        <v>9</v>
      </c>
      <c r="L49" s="211" t="s">
        <v>9</v>
      </c>
      <c r="M49" s="211" t="s">
        <v>9</v>
      </c>
      <c r="N49" s="211" t="s">
        <v>9</v>
      </c>
      <c r="O49" s="242">
        <f t="shared" si="6"/>
        <v>9</v>
      </c>
      <c r="P49" s="243">
        <f t="shared" si="7"/>
        <v>0</v>
      </c>
      <c r="Q49" s="238">
        <f t="shared" si="2"/>
        <v>9</v>
      </c>
      <c r="R49" s="53">
        <v>270000</v>
      </c>
      <c r="S49" s="54">
        <f t="shared" si="3"/>
        <v>2430000</v>
      </c>
      <c r="T49" s="253"/>
    </row>
    <row r="50" spans="1:20" s="31" customFormat="1" x14ac:dyDescent="0.3">
      <c r="A50" s="61">
        <f t="shared" si="5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211"/>
      <c r="O50" s="242">
        <f t="shared" si="6"/>
        <v>0</v>
      </c>
      <c r="P50" s="243">
        <f t="shared" si="7"/>
        <v>0</v>
      </c>
      <c r="Q50" s="238">
        <f t="shared" si="2"/>
        <v>0</v>
      </c>
      <c r="R50" s="53">
        <v>270000</v>
      </c>
      <c r="S50" s="54">
        <f t="shared" si="3"/>
        <v>0</v>
      </c>
      <c r="T50" s="253"/>
    </row>
    <row r="51" spans="1:20" s="31" customFormat="1" x14ac:dyDescent="0.3">
      <c r="A51" s="61">
        <f t="shared" si="5"/>
        <v>48</v>
      </c>
      <c r="B51" s="116" t="s">
        <v>287</v>
      </c>
      <c r="C51" s="116"/>
      <c r="D51" s="205" t="s">
        <v>4</v>
      </c>
      <c r="E51" s="127" t="s">
        <v>9</v>
      </c>
      <c r="F51" s="32" t="s">
        <v>9</v>
      </c>
      <c r="G51" s="32" t="s">
        <v>9</v>
      </c>
      <c r="H51" s="36" t="s">
        <v>9</v>
      </c>
      <c r="I51" s="32"/>
      <c r="J51" s="32" t="s">
        <v>9</v>
      </c>
      <c r="K51" s="211" t="s">
        <v>9</v>
      </c>
      <c r="L51" s="211" t="s">
        <v>9</v>
      </c>
      <c r="M51" s="211" t="s">
        <v>9</v>
      </c>
      <c r="N51" s="211" t="s">
        <v>9</v>
      </c>
      <c r="O51" s="242">
        <f t="shared" si="6"/>
        <v>9</v>
      </c>
      <c r="P51" s="243">
        <f t="shared" si="7"/>
        <v>0</v>
      </c>
      <c r="Q51" s="238">
        <f t="shared" si="2"/>
        <v>9</v>
      </c>
      <c r="R51" s="53">
        <v>360000</v>
      </c>
      <c r="S51" s="54">
        <f t="shared" si="3"/>
        <v>3240000</v>
      </c>
      <c r="T51" s="253"/>
    </row>
    <row r="52" spans="1:20" s="31" customFormat="1" x14ac:dyDescent="0.3">
      <c r="A52" s="61">
        <f t="shared" si="5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211"/>
      <c r="O52" s="242">
        <f t="shared" si="6"/>
        <v>0</v>
      </c>
      <c r="P52" s="243">
        <f t="shared" si="7"/>
        <v>0</v>
      </c>
      <c r="Q52" s="238">
        <f t="shared" si="2"/>
        <v>0</v>
      </c>
      <c r="R52" s="53">
        <v>360000</v>
      </c>
      <c r="S52" s="54">
        <f t="shared" si="3"/>
        <v>0</v>
      </c>
      <c r="T52" s="253"/>
    </row>
    <row r="53" spans="1:20" s="31" customFormat="1" x14ac:dyDescent="0.3">
      <c r="A53" s="61">
        <f t="shared" si="5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211"/>
      <c r="O53" s="242">
        <f t="shared" si="6"/>
        <v>0</v>
      </c>
      <c r="P53" s="243">
        <f t="shared" si="7"/>
        <v>0</v>
      </c>
      <c r="Q53" s="238">
        <f t="shared" si="2"/>
        <v>0</v>
      </c>
      <c r="R53" s="53">
        <v>270000</v>
      </c>
      <c r="S53" s="54">
        <f t="shared" si="3"/>
        <v>0</v>
      </c>
      <c r="T53" s="253"/>
    </row>
    <row r="54" spans="1:20" s="31" customFormat="1" x14ac:dyDescent="0.3">
      <c r="A54" s="61">
        <f t="shared" si="5"/>
        <v>51</v>
      </c>
      <c r="B54" s="116" t="s">
        <v>288</v>
      </c>
      <c r="C54" s="116"/>
      <c r="D54" s="205" t="s">
        <v>5</v>
      </c>
      <c r="E54" s="127" t="s">
        <v>9</v>
      </c>
      <c r="F54" s="32" t="s">
        <v>9</v>
      </c>
      <c r="G54" s="32" t="s">
        <v>9</v>
      </c>
      <c r="H54" s="36"/>
      <c r="I54" s="32"/>
      <c r="J54" s="32" t="s">
        <v>9</v>
      </c>
      <c r="K54" s="211" t="s">
        <v>9</v>
      </c>
      <c r="L54" s="211" t="s">
        <v>8</v>
      </c>
      <c r="M54" s="211" t="s">
        <v>9</v>
      </c>
      <c r="N54" s="211" t="s">
        <v>9</v>
      </c>
      <c r="O54" s="242">
        <f t="shared" si="6"/>
        <v>7</v>
      </c>
      <c r="P54" s="243">
        <f t="shared" si="7"/>
        <v>0.5</v>
      </c>
      <c r="Q54" s="238">
        <f t="shared" si="2"/>
        <v>7.5</v>
      </c>
      <c r="R54" s="53">
        <v>270000</v>
      </c>
      <c r="S54" s="54">
        <f t="shared" si="3"/>
        <v>2025000</v>
      </c>
      <c r="T54" s="253"/>
    </row>
    <row r="55" spans="1:20" s="31" customFormat="1" x14ac:dyDescent="0.3">
      <c r="A55" s="61">
        <f t="shared" si="5"/>
        <v>52</v>
      </c>
      <c r="B55" s="116" t="s">
        <v>291</v>
      </c>
      <c r="C55" s="116"/>
      <c r="D55" s="205" t="s">
        <v>5</v>
      </c>
      <c r="E55" s="127" t="s">
        <v>9</v>
      </c>
      <c r="F55" s="32" t="s">
        <v>9</v>
      </c>
      <c r="G55" s="32" t="s">
        <v>9</v>
      </c>
      <c r="H55" s="36"/>
      <c r="I55" s="32"/>
      <c r="J55" s="32"/>
      <c r="K55" s="211" t="s">
        <v>9</v>
      </c>
      <c r="L55" s="211" t="s">
        <v>9</v>
      </c>
      <c r="M55" s="211" t="s">
        <v>9</v>
      </c>
      <c r="N55" s="211" t="s">
        <v>9</v>
      </c>
      <c r="O55" s="242">
        <f t="shared" si="6"/>
        <v>7</v>
      </c>
      <c r="P55" s="243">
        <f t="shared" si="7"/>
        <v>0</v>
      </c>
      <c r="Q55" s="238">
        <f t="shared" si="2"/>
        <v>7</v>
      </c>
      <c r="R55" s="53">
        <v>270000</v>
      </c>
      <c r="S55" s="54">
        <f>Q55*R55+100000</f>
        <v>1990000</v>
      </c>
      <c r="T55" s="253"/>
    </row>
    <row r="56" spans="1:20" s="31" customFormat="1" x14ac:dyDescent="0.3">
      <c r="A56" s="61">
        <f t="shared" si="5"/>
        <v>53</v>
      </c>
      <c r="B56" s="116" t="s">
        <v>295</v>
      </c>
      <c r="C56" s="116"/>
      <c r="D56" s="205" t="s">
        <v>5</v>
      </c>
      <c r="E56" s="127"/>
      <c r="F56" s="32" t="s">
        <v>9</v>
      </c>
      <c r="G56" s="32" t="s">
        <v>9</v>
      </c>
      <c r="H56" s="36" t="s">
        <v>9</v>
      </c>
      <c r="I56" s="32"/>
      <c r="J56" s="32"/>
      <c r="K56" s="211"/>
      <c r="L56" s="211" t="s">
        <v>9</v>
      </c>
      <c r="M56" s="211" t="s">
        <v>9</v>
      </c>
      <c r="N56" s="211" t="s">
        <v>9</v>
      </c>
      <c r="O56" s="242">
        <f t="shared" si="6"/>
        <v>6</v>
      </c>
      <c r="P56" s="243">
        <f t="shared" si="7"/>
        <v>0</v>
      </c>
      <c r="Q56" s="238">
        <f t="shared" si="2"/>
        <v>6</v>
      </c>
      <c r="R56" s="53">
        <v>270000</v>
      </c>
      <c r="S56" s="54">
        <f t="shared" si="3"/>
        <v>1620000</v>
      </c>
      <c r="T56" s="253"/>
    </row>
    <row r="57" spans="1:20" s="31" customFormat="1" x14ac:dyDescent="0.3">
      <c r="A57" s="61">
        <f t="shared" si="5"/>
        <v>54</v>
      </c>
      <c r="B57" s="116" t="s">
        <v>296</v>
      </c>
      <c r="C57" s="116"/>
      <c r="D57" s="205" t="s">
        <v>5</v>
      </c>
      <c r="E57" s="127"/>
      <c r="F57" s="32"/>
      <c r="G57" s="32"/>
      <c r="H57" s="36"/>
      <c r="I57" s="32"/>
      <c r="J57" s="32"/>
      <c r="K57" s="211"/>
      <c r="L57" s="211" t="s">
        <v>9</v>
      </c>
      <c r="M57" s="211" t="s">
        <v>9</v>
      </c>
      <c r="N57" s="211" t="s">
        <v>9</v>
      </c>
      <c r="O57" s="242">
        <f t="shared" si="6"/>
        <v>3</v>
      </c>
      <c r="P57" s="243">
        <f t="shared" si="7"/>
        <v>0</v>
      </c>
      <c r="Q57" s="238">
        <f t="shared" si="2"/>
        <v>3</v>
      </c>
      <c r="R57" s="53">
        <v>270000</v>
      </c>
      <c r="S57" s="54">
        <f t="shared" si="3"/>
        <v>810000</v>
      </c>
      <c r="T57" s="253"/>
    </row>
    <row r="58" spans="1:20" s="31" customFormat="1" x14ac:dyDescent="0.3">
      <c r="A58" s="61">
        <f t="shared" si="5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211"/>
      <c r="O58" s="242">
        <f t="shared" si="6"/>
        <v>0</v>
      </c>
      <c r="P58" s="243">
        <f t="shared" si="7"/>
        <v>0</v>
      </c>
      <c r="Q58" s="238">
        <f t="shared" si="2"/>
        <v>0</v>
      </c>
      <c r="R58" s="53">
        <v>360000</v>
      </c>
      <c r="S58" s="54">
        <f t="shared" si="3"/>
        <v>0</v>
      </c>
      <c r="T58" s="253"/>
    </row>
    <row r="59" spans="1:20" s="31" customFormat="1" x14ac:dyDescent="0.3">
      <c r="A59" s="61">
        <f t="shared" si="5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211"/>
      <c r="O59" s="242">
        <f t="shared" si="6"/>
        <v>0</v>
      </c>
      <c r="P59" s="243">
        <f t="shared" si="7"/>
        <v>0</v>
      </c>
      <c r="Q59" s="238">
        <f t="shared" si="2"/>
        <v>0</v>
      </c>
      <c r="R59" s="53">
        <v>270000</v>
      </c>
      <c r="S59" s="54">
        <f t="shared" si="3"/>
        <v>0</v>
      </c>
      <c r="T59" s="253"/>
    </row>
    <row r="60" spans="1:20" s="31" customFormat="1" x14ac:dyDescent="0.3">
      <c r="A60" s="61">
        <f t="shared" si="5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211"/>
      <c r="O60" s="242">
        <f t="shared" si="6"/>
        <v>0</v>
      </c>
      <c r="P60" s="243">
        <f t="shared" si="7"/>
        <v>0</v>
      </c>
      <c r="Q60" s="238">
        <f t="shared" si="2"/>
        <v>0</v>
      </c>
      <c r="R60" s="53">
        <v>260000</v>
      </c>
      <c r="S60" s="54">
        <f t="shared" si="3"/>
        <v>0</v>
      </c>
      <c r="T60" s="253"/>
    </row>
    <row r="61" spans="1:20" s="31" customFormat="1" x14ac:dyDescent="0.3">
      <c r="A61" s="61">
        <f t="shared" si="5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211"/>
      <c r="O61" s="230">
        <f t="shared" si="6"/>
        <v>0</v>
      </c>
      <c r="P61" s="244">
        <f t="shared" si="7"/>
        <v>0</v>
      </c>
      <c r="Q61" s="238">
        <f t="shared" si="2"/>
        <v>0</v>
      </c>
      <c r="R61" s="53">
        <v>360000</v>
      </c>
      <c r="S61" s="54">
        <f t="shared" si="3"/>
        <v>0</v>
      </c>
      <c r="T61" s="253"/>
    </row>
    <row r="62" spans="1:20" s="31" customFormat="1" x14ac:dyDescent="0.3">
      <c r="A62" s="61">
        <f t="shared" si="5"/>
        <v>59</v>
      </c>
      <c r="B62" s="116" t="s">
        <v>362</v>
      </c>
      <c r="C62" s="116"/>
      <c r="D62" s="205" t="s">
        <v>5</v>
      </c>
      <c r="E62" s="127" t="s">
        <v>9</v>
      </c>
      <c r="F62" s="32" t="s">
        <v>9</v>
      </c>
      <c r="G62" s="32" t="s">
        <v>9</v>
      </c>
      <c r="H62" s="36" t="s">
        <v>9</v>
      </c>
      <c r="I62" s="32"/>
      <c r="J62" s="32" t="s">
        <v>9</v>
      </c>
      <c r="K62" s="211" t="s">
        <v>9</v>
      </c>
      <c r="L62" s="211"/>
      <c r="M62" s="211"/>
      <c r="N62" s="211"/>
      <c r="O62" s="230">
        <f t="shared" si="6"/>
        <v>6</v>
      </c>
      <c r="P62" s="244">
        <f t="shared" si="7"/>
        <v>0</v>
      </c>
      <c r="Q62" s="238">
        <f t="shared" si="2"/>
        <v>6</v>
      </c>
      <c r="R62" s="53">
        <v>260000</v>
      </c>
      <c r="S62" s="54">
        <f t="shared" si="3"/>
        <v>1560000</v>
      </c>
      <c r="T62" s="253"/>
    </row>
    <row r="63" spans="1:20" s="31" customFormat="1" x14ac:dyDescent="0.3">
      <c r="A63" s="61">
        <f t="shared" si="5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211"/>
      <c r="O63" s="230">
        <f t="shared" si="6"/>
        <v>0</v>
      </c>
      <c r="P63" s="244">
        <f t="shared" si="7"/>
        <v>0</v>
      </c>
      <c r="Q63" s="238">
        <f t="shared" si="2"/>
        <v>0</v>
      </c>
      <c r="R63" s="53">
        <v>260000</v>
      </c>
      <c r="S63" s="54">
        <f t="shared" si="3"/>
        <v>0</v>
      </c>
      <c r="T63" s="253"/>
    </row>
    <row r="64" spans="1:20" s="31" customFormat="1" x14ac:dyDescent="0.3">
      <c r="A64" s="61">
        <f t="shared" si="5"/>
        <v>61</v>
      </c>
      <c r="B64" s="116" t="s">
        <v>364</v>
      </c>
      <c r="C64" s="116"/>
      <c r="D64" s="205" t="s">
        <v>4</v>
      </c>
      <c r="E64" s="127" t="s">
        <v>9</v>
      </c>
      <c r="F64" s="32" t="s">
        <v>9</v>
      </c>
      <c r="G64" s="32" t="s">
        <v>9</v>
      </c>
      <c r="H64" s="36" t="s">
        <v>9</v>
      </c>
      <c r="I64" s="32"/>
      <c r="J64" s="32"/>
      <c r="K64" s="211"/>
      <c r="L64" s="211"/>
      <c r="M64" s="211"/>
      <c r="N64" s="211"/>
      <c r="O64" s="230">
        <f t="shared" si="6"/>
        <v>4</v>
      </c>
      <c r="P64" s="244">
        <f t="shared" si="7"/>
        <v>0</v>
      </c>
      <c r="Q64" s="238">
        <f t="shared" si="2"/>
        <v>4</v>
      </c>
      <c r="R64" s="53">
        <v>360000</v>
      </c>
      <c r="S64" s="54">
        <f t="shared" si="3"/>
        <v>1440000</v>
      </c>
      <c r="T64" s="253"/>
    </row>
    <row r="65" spans="1:21" s="31" customFormat="1" x14ac:dyDescent="0.3">
      <c r="A65" s="61">
        <f t="shared" si="5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211"/>
      <c r="O65" s="230">
        <f t="shared" si="6"/>
        <v>0</v>
      </c>
      <c r="P65" s="244">
        <f t="shared" si="7"/>
        <v>0</v>
      </c>
      <c r="Q65" s="238">
        <f t="shared" si="2"/>
        <v>0</v>
      </c>
      <c r="R65" s="53">
        <v>260000</v>
      </c>
      <c r="S65" s="54">
        <f t="shared" si="3"/>
        <v>0</v>
      </c>
      <c r="T65" s="253"/>
    </row>
    <row r="66" spans="1:21" s="31" customFormat="1" x14ac:dyDescent="0.3">
      <c r="A66" s="61">
        <f t="shared" si="5"/>
        <v>63</v>
      </c>
      <c r="B66" s="116" t="s">
        <v>366</v>
      </c>
      <c r="C66" s="116"/>
      <c r="D66" s="205" t="s">
        <v>4</v>
      </c>
      <c r="E66" s="127" t="s">
        <v>9</v>
      </c>
      <c r="F66" s="32" t="s">
        <v>9</v>
      </c>
      <c r="G66" s="32" t="s">
        <v>9</v>
      </c>
      <c r="H66" s="36" t="s">
        <v>9</v>
      </c>
      <c r="I66" s="32"/>
      <c r="J66" s="32"/>
      <c r="K66" s="211"/>
      <c r="L66" s="211"/>
      <c r="M66" s="211"/>
      <c r="N66" s="211"/>
      <c r="O66" s="230">
        <f t="shared" si="6"/>
        <v>4</v>
      </c>
      <c r="P66" s="244">
        <f t="shared" si="7"/>
        <v>0</v>
      </c>
      <c r="Q66" s="238">
        <f t="shared" ref="Q66:Q69" si="8">SUM(O66:P66)</f>
        <v>4</v>
      </c>
      <c r="R66" s="53">
        <v>360000</v>
      </c>
      <c r="S66" s="54">
        <f t="shared" si="3"/>
        <v>1440000</v>
      </c>
      <c r="T66" s="253"/>
    </row>
    <row r="67" spans="1:21" s="31" customFormat="1" x14ac:dyDescent="0.3">
      <c r="A67" s="61">
        <f t="shared" si="5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211"/>
      <c r="O67" s="230">
        <f t="shared" si="6"/>
        <v>0</v>
      </c>
      <c r="P67" s="244">
        <f t="shared" si="7"/>
        <v>0</v>
      </c>
      <c r="Q67" s="238">
        <f t="shared" si="8"/>
        <v>0</v>
      </c>
      <c r="R67" s="53">
        <v>260000</v>
      </c>
      <c r="S67" s="54">
        <f t="shared" si="3"/>
        <v>0</v>
      </c>
      <c r="T67" s="253"/>
    </row>
    <row r="68" spans="1:21" s="31" customFormat="1" x14ac:dyDescent="0.3">
      <c r="A68" s="61">
        <f t="shared" si="5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211"/>
      <c r="O68" s="230">
        <f t="shared" ref="O68:O75" si="9">COUNTIF(E68:N68,"X")</f>
        <v>0</v>
      </c>
      <c r="P68" s="244">
        <f t="shared" si="7"/>
        <v>0</v>
      </c>
      <c r="Q68" s="238">
        <f t="shared" si="8"/>
        <v>0</v>
      </c>
      <c r="R68" s="53">
        <v>260000</v>
      </c>
      <c r="S68" s="54">
        <f t="shared" ref="S68:S75" si="10">Q68*R68</f>
        <v>0</v>
      </c>
      <c r="T68" s="253"/>
    </row>
    <row r="69" spans="1:21" s="31" customFormat="1" x14ac:dyDescent="0.3">
      <c r="A69" s="61">
        <f t="shared" si="5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211"/>
      <c r="O69" s="230">
        <f t="shared" si="9"/>
        <v>0</v>
      </c>
      <c r="P69" s="244">
        <f t="shared" ref="P69:P75" si="11">COUNTIF(E69:N69,"X/2")/2</f>
        <v>0</v>
      </c>
      <c r="Q69" s="238">
        <f t="shared" si="8"/>
        <v>0</v>
      </c>
      <c r="R69" s="53">
        <v>270000</v>
      </c>
      <c r="S69" s="54">
        <f t="shared" si="10"/>
        <v>0</v>
      </c>
      <c r="T69" s="253"/>
    </row>
    <row r="70" spans="1:21" s="31" customFormat="1" x14ac:dyDescent="0.3">
      <c r="A70" s="61">
        <f t="shared" si="5"/>
        <v>67</v>
      </c>
      <c r="B70" s="116" t="s">
        <v>371</v>
      </c>
      <c r="C70" s="116"/>
      <c r="D70" s="205" t="s">
        <v>4</v>
      </c>
      <c r="E70" s="127" t="s">
        <v>9</v>
      </c>
      <c r="F70" s="32" t="s">
        <v>9</v>
      </c>
      <c r="G70" s="32" t="s">
        <v>9</v>
      </c>
      <c r="H70" s="36" t="s">
        <v>9</v>
      </c>
      <c r="I70" s="32"/>
      <c r="J70" s="32" t="s">
        <v>9</v>
      </c>
      <c r="K70" s="211" t="s">
        <v>9</v>
      </c>
      <c r="L70" s="211" t="s">
        <v>9</v>
      </c>
      <c r="M70" s="211" t="s">
        <v>9</v>
      </c>
      <c r="N70" s="211" t="s">
        <v>9</v>
      </c>
      <c r="O70" s="230">
        <f t="shared" si="9"/>
        <v>9</v>
      </c>
      <c r="P70" s="244">
        <f t="shared" si="11"/>
        <v>0</v>
      </c>
      <c r="Q70" s="238">
        <f t="shared" ref="Q70:Q75" si="12">SUM(O70:P70)</f>
        <v>9</v>
      </c>
      <c r="R70" s="53">
        <v>360000</v>
      </c>
      <c r="S70" s="54">
        <f t="shared" si="10"/>
        <v>3240000</v>
      </c>
      <c r="T70" s="253"/>
    </row>
    <row r="71" spans="1:21" s="31" customFormat="1" x14ac:dyDescent="0.3">
      <c r="A71" s="61">
        <f t="shared" ref="A71:A75" si="13">A70+1</f>
        <v>68</v>
      </c>
      <c r="B71" s="116" t="s">
        <v>372</v>
      </c>
      <c r="C71" s="116"/>
      <c r="D71" s="205" t="s">
        <v>4</v>
      </c>
      <c r="E71" s="127" t="s">
        <v>9</v>
      </c>
      <c r="F71" s="32" t="s">
        <v>9</v>
      </c>
      <c r="G71" s="32" t="s">
        <v>9</v>
      </c>
      <c r="H71" s="36" t="s">
        <v>9</v>
      </c>
      <c r="I71" s="32"/>
      <c r="J71" s="32"/>
      <c r="K71" s="211"/>
      <c r="L71" s="211"/>
      <c r="M71" s="211"/>
      <c r="N71" s="211"/>
      <c r="O71" s="230">
        <f t="shared" si="9"/>
        <v>4</v>
      </c>
      <c r="P71" s="244">
        <f t="shared" si="11"/>
        <v>0</v>
      </c>
      <c r="Q71" s="238">
        <f t="shared" si="12"/>
        <v>4</v>
      </c>
      <c r="R71" s="53">
        <v>360000</v>
      </c>
      <c r="S71" s="54">
        <f t="shared" si="10"/>
        <v>1440000</v>
      </c>
      <c r="T71" s="253"/>
    </row>
    <row r="72" spans="1:21" s="31" customFormat="1" x14ac:dyDescent="0.3">
      <c r="A72" s="61">
        <f t="shared" si="13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211"/>
      <c r="O72" s="230">
        <f t="shared" si="9"/>
        <v>0</v>
      </c>
      <c r="P72" s="244">
        <f t="shared" si="11"/>
        <v>0</v>
      </c>
      <c r="Q72" s="238">
        <f t="shared" si="12"/>
        <v>0</v>
      </c>
      <c r="R72" s="53">
        <v>260000</v>
      </c>
      <c r="S72" s="54">
        <f t="shared" si="10"/>
        <v>0</v>
      </c>
      <c r="T72" s="253"/>
    </row>
    <row r="73" spans="1:21" s="31" customFormat="1" x14ac:dyDescent="0.3">
      <c r="A73" s="61">
        <f t="shared" si="13"/>
        <v>70</v>
      </c>
      <c r="B73" s="116" t="s">
        <v>374</v>
      </c>
      <c r="C73" s="116"/>
      <c r="D73" s="205" t="s">
        <v>4</v>
      </c>
      <c r="E73" s="127" t="s">
        <v>9</v>
      </c>
      <c r="F73" s="32"/>
      <c r="G73" s="32"/>
      <c r="H73" s="36"/>
      <c r="I73" s="32"/>
      <c r="J73" s="32"/>
      <c r="K73" s="211"/>
      <c r="L73" s="211"/>
      <c r="M73" s="211"/>
      <c r="N73" s="211"/>
      <c r="O73" s="230">
        <f t="shared" si="9"/>
        <v>1</v>
      </c>
      <c r="P73" s="244">
        <f t="shared" si="11"/>
        <v>0</v>
      </c>
      <c r="Q73" s="238">
        <f t="shared" si="12"/>
        <v>1</v>
      </c>
      <c r="R73" s="53">
        <v>360000</v>
      </c>
      <c r="S73" s="54">
        <f t="shared" si="10"/>
        <v>360000</v>
      </c>
      <c r="T73" s="253"/>
    </row>
    <row r="74" spans="1:21" s="31" customFormat="1" x14ac:dyDescent="0.3">
      <c r="A74" s="61">
        <f t="shared" si="13"/>
        <v>71</v>
      </c>
      <c r="B74" s="116" t="s">
        <v>375</v>
      </c>
      <c r="C74" s="116"/>
      <c r="D74" s="205" t="s">
        <v>5</v>
      </c>
      <c r="E74" s="127" t="s">
        <v>9</v>
      </c>
      <c r="F74" s="32"/>
      <c r="G74" s="32"/>
      <c r="H74" s="36"/>
      <c r="I74" s="32"/>
      <c r="J74" s="32"/>
      <c r="K74" s="211"/>
      <c r="L74" s="211"/>
      <c r="M74" s="211"/>
      <c r="N74" s="211"/>
      <c r="O74" s="230">
        <f t="shared" si="9"/>
        <v>1</v>
      </c>
      <c r="P74" s="244">
        <f t="shared" si="11"/>
        <v>0</v>
      </c>
      <c r="Q74" s="238">
        <f t="shared" si="12"/>
        <v>1</v>
      </c>
      <c r="R74" s="53">
        <v>260000</v>
      </c>
      <c r="S74" s="54">
        <f t="shared" si="10"/>
        <v>260000</v>
      </c>
      <c r="T74" s="253"/>
    </row>
    <row r="75" spans="1:21" s="31" customFormat="1" x14ac:dyDescent="0.3">
      <c r="A75" s="61">
        <f t="shared" si="13"/>
        <v>72</v>
      </c>
      <c r="B75" s="159" t="s">
        <v>376</v>
      </c>
      <c r="C75" s="159"/>
      <c r="D75" s="206" t="s">
        <v>5</v>
      </c>
      <c r="E75" s="127" t="s">
        <v>9</v>
      </c>
      <c r="F75" s="32" t="s">
        <v>9</v>
      </c>
      <c r="G75" s="32" t="s">
        <v>9</v>
      </c>
      <c r="H75" s="36" t="s">
        <v>9</v>
      </c>
      <c r="I75" s="227"/>
      <c r="J75" s="227"/>
      <c r="K75" s="229"/>
      <c r="L75" s="229"/>
      <c r="M75" s="229"/>
      <c r="N75" s="229"/>
      <c r="O75" s="230">
        <f t="shared" si="9"/>
        <v>4</v>
      </c>
      <c r="P75" s="244">
        <f t="shared" si="11"/>
        <v>0</v>
      </c>
      <c r="Q75" s="238">
        <f t="shared" si="12"/>
        <v>4</v>
      </c>
      <c r="R75" s="53">
        <v>260000</v>
      </c>
      <c r="S75" s="54">
        <f t="shared" si="10"/>
        <v>1040000</v>
      </c>
      <c r="T75" s="255"/>
    </row>
    <row r="76" spans="1:21" s="31" customFormat="1" hidden="1" x14ac:dyDescent="0.3">
      <c r="A76" s="231"/>
      <c r="B76" s="29"/>
      <c r="C76" s="29"/>
      <c r="D76" s="210"/>
      <c r="E76" s="234"/>
      <c r="F76" s="232"/>
      <c r="G76" s="232"/>
      <c r="H76" s="232"/>
      <c r="I76" s="232"/>
      <c r="J76" s="232"/>
      <c r="K76" s="232"/>
      <c r="L76" s="232"/>
      <c r="M76" s="232"/>
      <c r="N76" s="232"/>
      <c r="O76" s="242"/>
      <c r="P76" s="243"/>
      <c r="Q76" s="237"/>
      <c r="R76" s="52"/>
      <c r="S76" s="249"/>
      <c r="T76" s="256"/>
    </row>
    <row r="77" spans="1:21" s="31" customFormat="1" ht="16.2" hidden="1" thickBot="1" x14ac:dyDescent="0.35">
      <c r="A77" s="216"/>
      <c r="B77" s="217"/>
      <c r="C77" s="218"/>
      <c r="D77" s="219"/>
      <c r="E77" s="220"/>
      <c r="F77" s="221"/>
      <c r="G77" s="222"/>
      <c r="H77" s="221"/>
      <c r="I77" s="222"/>
      <c r="J77" s="222"/>
      <c r="K77" s="223"/>
      <c r="L77" s="223"/>
      <c r="M77" s="223"/>
      <c r="N77" s="223"/>
      <c r="O77" s="245"/>
      <c r="P77" s="246"/>
      <c r="Q77" s="239"/>
      <c r="R77" s="224"/>
      <c r="S77" s="225"/>
      <c r="T77" s="257"/>
    </row>
    <row r="78" spans="1:21" s="31" customFormat="1" ht="16.2" thickBot="1" x14ac:dyDescent="0.35">
      <c r="A78" s="83"/>
      <c r="B78" s="84"/>
      <c r="C78" s="89"/>
      <c r="D78" s="85"/>
      <c r="E78" s="81">
        <f>SUBTOTAL(103,E4:E75)</f>
        <v>41</v>
      </c>
      <c r="F78" s="43">
        <f t="shared" ref="F78:O78" si="14">SUBTOTAL(103,F4:F75)</f>
        <v>42</v>
      </c>
      <c r="G78" s="40">
        <f t="shared" si="14"/>
        <v>42</v>
      </c>
      <c r="H78" s="43">
        <f t="shared" si="14"/>
        <v>33</v>
      </c>
      <c r="I78" s="40">
        <f t="shared" si="14"/>
        <v>0</v>
      </c>
      <c r="J78" s="40">
        <f t="shared" si="14"/>
        <v>30</v>
      </c>
      <c r="K78" s="155"/>
      <c r="L78" s="155"/>
      <c r="M78" s="155"/>
      <c r="N78" s="155"/>
      <c r="O78" s="81">
        <f t="shared" si="14"/>
        <v>72</v>
      </c>
      <c r="P78" s="63">
        <f>SUBTOTAL(103,P4:P27)</f>
        <v>24</v>
      </c>
      <c r="Q78" s="43">
        <f>SUBTOTAL(103,Q4:Q27)</f>
        <v>24</v>
      </c>
      <c r="R78" s="40">
        <f>SUBTOTAL(103,R4:R75)</f>
        <v>72</v>
      </c>
      <c r="S78" s="247">
        <f>SUBTOTAL(109,S4:S75)</f>
        <v>105500000</v>
      </c>
      <c r="T78" s="247">
        <f>SUBTOTAL(109,T4:T75)</f>
        <v>5000000</v>
      </c>
      <c r="U78" s="208"/>
    </row>
    <row r="79" spans="1:21" x14ac:dyDescent="0.3">
      <c r="S79" s="76"/>
      <c r="T79" s="248">
        <f>S78-T78</f>
        <v>100500000</v>
      </c>
    </row>
    <row r="80" spans="1:21" x14ac:dyDescent="0.3">
      <c r="S80" s="76"/>
    </row>
  </sheetData>
  <autoFilter ref="A3:U75"/>
  <mergeCells count="10">
    <mergeCell ref="Q2:Q3"/>
    <mergeCell ref="R2:R3"/>
    <mergeCell ref="S2:S3"/>
    <mergeCell ref="T2:T3"/>
    <mergeCell ref="A2:A3"/>
    <mergeCell ref="B2:B3"/>
    <mergeCell ref="C2:C3"/>
    <mergeCell ref="D2:D3"/>
    <mergeCell ref="O2:O3"/>
    <mergeCell ref="P2:P3"/>
  </mergeCells>
  <conditionalFormatting sqref="E78:N78">
    <cfRule type="expression" dxfId="9" priority="1">
      <formula>IF(E$3="cn",1,0)</formula>
    </cfRule>
  </conditionalFormatting>
  <pageMargins left="0.7" right="0.7" top="0.2" bottom="0.2" header="0.2" footer="0.2"/>
  <pageSetup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1"/>
  <sheetViews>
    <sheetView topLeftCell="A64" workbookViewId="0">
      <selection activeCell="U16" sqref="U16"/>
    </sheetView>
  </sheetViews>
  <sheetFormatPr defaultRowHeight="15.6" x14ac:dyDescent="0.3"/>
  <cols>
    <col min="1" max="1" width="3.88671875" style="62" customWidth="1"/>
    <col min="2" max="2" width="20.33203125" style="1" customWidth="1"/>
    <col min="3" max="3" width="27.21875" style="1" hidden="1" customWidth="1"/>
    <col min="4" max="4" width="7.77734375" style="3" customWidth="1"/>
    <col min="5" max="7" width="3.77734375" style="129" customWidth="1"/>
    <col min="8" max="14" width="3.77734375" style="176" customWidth="1"/>
    <col min="15" max="15" width="6.21875" style="176" customWidth="1"/>
    <col min="16" max="16" width="6.6640625" style="176" customWidth="1"/>
    <col min="17" max="17" width="5.44140625" style="176" customWidth="1"/>
    <col min="18" max="18" width="10.88671875" style="1" customWidth="1"/>
    <col min="19" max="19" width="14" style="1" customWidth="1"/>
    <col min="20" max="20" width="13.5546875" style="1" customWidth="1"/>
    <col min="21" max="21" width="22" style="1" customWidth="1"/>
    <col min="22" max="16384" width="8.88671875" style="1"/>
  </cols>
  <sheetData>
    <row r="1" spans="1:21" ht="18" thickBot="1" x14ac:dyDescent="0.35">
      <c r="A1" s="154" t="s">
        <v>380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73"/>
      <c r="R1" s="173"/>
      <c r="S1" s="173"/>
      <c r="T1" s="173"/>
    </row>
    <row r="2" spans="1:21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11</v>
      </c>
      <c r="F2" s="23">
        <f t="shared" ref="F2:N2" si="0">E2+1</f>
        <v>12</v>
      </c>
      <c r="G2" s="23">
        <f t="shared" si="0"/>
        <v>13</v>
      </c>
      <c r="H2" s="23">
        <f t="shared" si="0"/>
        <v>14</v>
      </c>
      <c r="I2" s="23">
        <f t="shared" si="0"/>
        <v>15</v>
      </c>
      <c r="J2" s="23">
        <f t="shared" si="0"/>
        <v>16</v>
      </c>
      <c r="K2" s="23">
        <f t="shared" si="0"/>
        <v>17</v>
      </c>
      <c r="L2" s="23">
        <f t="shared" si="0"/>
        <v>18</v>
      </c>
      <c r="M2" s="23">
        <f t="shared" si="0"/>
        <v>19</v>
      </c>
      <c r="N2" s="23">
        <f t="shared" si="0"/>
        <v>20</v>
      </c>
      <c r="O2" s="432" t="s">
        <v>6</v>
      </c>
      <c r="P2" s="422" t="s">
        <v>7</v>
      </c>
      <c r="Q2" s="436" t="s">
        <v>357</v>
      </c>
      <c r="R2" s="438" t="s">
        <v>30</v>
      </c>
      <c r="S2" s="428" t="s">
        <v>33</v>
      </c>
      <c r="T2" s="430" t="s">
        <v>127</v>
      </c>
    </row>
    <row r="3" spans="1:21" s="3" customFormat="1" ht="16.2" thickBot="1" x14ac:dyDescent="0.35">
      <c r="A3" s="415"/>
      <c r="B3" s="417"/>
      <c r="C3" s="417"/>
      <c r="D3" s="425"/>
      <c r="E3" s="125" t="s">
        <v>99</v>
      </c>
      <c r="F3" s="213" t="s">
        <v>93</v>
      </c>
      <c r="G3" s="213" t="s">
        <v>94</v>
      </c>
      <c r="H3" s="207" t="s">
        <v>95</v>
      </c>
      <c r="I3" s="213" t="s">
        <v>97</v>
      </c>
      <c r="J3" s="213" t="s">
        <v>96</v>
      </c>
      <c r="K3" s="213" t="s">
        <v>98</v>
      </c>
      <c r="L3" s="207" t="s">
        <v>99</v>
      </c>
      <c r="M3" s="213" t="s">
        <v>93</v>
      </c>
      <c r="N3" s="213" t="s">
        <v>94</v>
      </c>
      <c r="O3" s="433"/>
      <c r="P3" s="423"/>
      <c r="Q3" s="437"/>
      <c r="R3" s="439"/>
      <c r="S3" s="440"/>
      <c r="T3" s="441"/>
    </row>
    <row r="4" spans="1:21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263" t="s">
        <v>9</v>
      </c>
      <c r="F4" s="264" t="s">
        <v>8</v>
      </c>
      <c r="G4" s="264" t="s">
        <v>9</v>
      </c>
      <c r="H4" s="265" t="s">
        <v>9</v>
      </c>
      <c r="I4" s="264" t="s">
        <v>9</v>
      </c>
      <c r="J4" s="264" t="s">
        <v>9</v>
      </c>
      <c r="K4" s="266" t="s">
        <v>9</v>
      </c>
      <c r="L4" s="266" t="s">
        <v>9</v>
      </c>
      <c r="M4" s="266" t="s">
        <v>9</v>
      </c>
      <c r="N4" s="266" t="s">
        <v>9</v>
      </c>
      <c r="O4" s="240">
        <f t="shared" ref="O4:O35" si="1">COUNTIF(E4:N4,"X")</f>
        <v>9</v>
      </c>
      <c r="P4" s="123">
        <f>COUNTIF(E4:I4,"X/2")/2</f>
        <v>0.5</v>
      </c>
      <c r="Q4" s="272">
        <f t="shared" ref="Q4:Q65" si="2">SUM(O4:P4)</f>
        <v>9.5</v>
      </c>
      <c r="R4" s="268">
        <v>550000</v>
      </c>
      <c r="S4" s="88">
        <f t="shared" ref="S4:S67" si="3">Q4*R4</f>
        <v>5225000</v>
      </c>
      <c r="T4" s="258">
        <v>5000000</v>
      </c>
      <c r="U4" s="31" t="s">
        <v>383</v>
      </c>
    </row>
    <row r="5" spans="1:21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 t="s">
        <v>9</v>
      </c>
      <c r="F5" s="21"/>
      <c r="G5" s="21" t="s">
        <v>9</v>
      </c>
      <c r="H5" s="35" t="s">
        <v>9</v>
      </c>
      <c r="I5" s="21" t="s">
        <v>9</v>
      </c>
      <c r="J5" s="21" t="s">
        <v>9</v>
      </c>
      <c r="K5" s="210" t="s">
        <v>9</v>
      </c>
      <c r="L5" s="210" t="s">
        <v>9</v>
      </c>
      <c r="M5" s="210"/>
      <c r="N5" s="210"/>
      <c r="O5" s="242">
        <f t="shared" si="1"/>
        <v>7</v>
      </c>
      <c r="P5" s="78">
        <f t="shared" ref="P5:P36" si="4">COUNTIF(E5:N5,"X/2")/2</f>
        <v>0</v>
      </c>
      <c r="Q5" s="273">
        <f t="shared" si="2"/>
        <v>7</v>
      </c>
      <c r="R5" s="269">
        <v>380000</v>
      </c>
      <c r="S5" s="77">
        <f t="shared" si="3"/>
        <v>2660000</v>
      </c>
      <c r="T5" s="251"/>
    </row>
    <row r="6" spans="1:21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 t="s">
        <v>9</v>
      </c>
      <c r="F6" s="21"/>
      <c r="G6" s="21" t="s">
        <v>9</v>
      </c>
      <c r="H6" s="35" t="s">
        <v>9</v>
      </c>
      <c r="I6" s="21" t="s">
        <v>9</v>
      </c>
      <c r="J6" s="21" t="s">
        <v>9</v>
      </c>
      <c r="K6" s="210" t="s">
        <v>9</v>
      </c>
      <c r="L6" s="210" t="s">
        <v>9</v>
      </c>
      <c r="M6" s="210" t="s">
        <v>9</v>
      </c>
      <c r="N6" s="210" t="s">
        <v>9</v>
      </c>
      <c r="O6" s="242">
        <f t="shared" si="1"/>
        <v>9</v>
      </c>
      <c r="P6" s="78">
        <f t="shared" si="4"/>
        <v>0</v>
      </c>
      <c r="Q6" s="273">
        <f t="shared" si="2"/>
        <v>9</v>
      </c>
      <c r="R6" s="269">
        <v>370000</v>
      </c>
      <c r="S6" s="77">
        <f t="shared" si="3"/>
        <v>3330000</v>
      </c>
      <c r="T6" s="251"/>
    </row>
    <row r="7" spans="1:21" s="31" customFormat="1" x14ac:dyDescent="0.3">
      <c r="A7" s="61">
        <f t="shared" ref="A7:A70" si="5">A6+1</f>
        <v>4</v>
      </c>
      <c r="B7" s="28" t="s">
        <v>37</v>
      </c>
      <c r="C7" s="48" t="s">
        <v>60</v>
      </c>
      <c r="D7" s="202" t="s">
        <v>4</v>
      </c>
      <c r="E7" s="41" t="s">
        <v>9</v>
      </c>
      <c r="F7" s="21"/>
      <c r="G7" s="21" t="s">
        <v>9</v>
      </c>
      <c r="H7" s="35" t="s">
        <v>9</v>
      </c>
      <c r="I7" s="21" t="s">
        <v>9</v>
      </c>
      <c r="J7" s="21" t="s">
        <v>9</v>
      </c>
      <c r="K7" s="210" t="s">
        <v>9</v>
      </c>
      <c r="L7" s="210" t="s">
        <v>8</v>
      </c>
      <c r="M7" s="210"/>
      <c r="N7" s="210"/>
      <c r="O7" s="242">
        <f t="shared" si="1"/>
        <v>6</v>
      </c>
      <c r="P7" s="78">
        <f t="shared" si="4"/>
        <v>0.5</v>
      </c>
      <c r="Q7" s="273">
        <f t="shared" si="2"/>
        <v>6.5</v>
      </c>
      <c r="R7" s="269">
        <v>370000</v>
      </c>
      <c r="S7" s="77">
        <f t="shared" si="3"/>
        <v>2405000</v>
      </c>
      <c r="T7" s="250"/>
    </row>
    <row r="8" spans="1:21" s="31" customFormat="1" x14ac:dyDescent="0.3">
      <c r="A8" s="61">
        <f t="shared" si="5"/>
        <v>5</v>
      </c>
      <c r="B8" s="28" t="s">
        <v>38</v>
      </c>
      <c r="C8" s="48" t="s">
        <v>80</v>
      </c>
      <c r="D8" s="202" t="s">
        <v>17</v>
      </c>
      <c r="E8" s="41" t="s">
        <v>9</v>
      </c>
      <c r="F8" s="21"/>
      <c r="G8" s="21"/>
      <c r="H8" s="35" t="s">
        <v>9</v>
      </c>
      <c r="I8" s="21" t="s">
        <v>9</v>
      </c>
      <c r="J8" s="21" t="s">
        <v>9</v>
      </c>
      <c r="K8" s="210" t="s">
        <v>9</v>
      </c>
      <c r="L8" s="210" t="s">
        <v>9</v>
      </c>
      <c r="M8" s="210" t="s">
        <v>9</v>
      </c>
      <c r="N8" s="210"/>
      <c r="O8" s="242">
        <f t="shared" si="1"/>
        <v>7</v>
      </c>
      <c r="P8" s="78">
        <f t="shared" si="4"/>
        <v>0</v>
      </c>
      <c r="Q8" s="273">
        <f t="shared" si="2"/>
        <v>7</v>
      </c>
      <c r="R8" s="269">
        <v>350000</v>
      </c>
      <c r="S8" s="77">
        <f t="shared" si="3"/>
        <v>2450000</v>
      </c>
      <c r="T8" s="251"/>
    </row>
    <row r="9" spans="1:21" s="31" customFormat="1" x14ac:dyDescent="0.3">
      <c r="A9" s="61">
        <f t="shared" si="5"/>
        <v>6</v>
      </c>
      <c r="B9" s="28" t="s">
        <v>145</v>
      </c>
      <c r="C9" s="48" t="s">
        <v>60</v>
      </c>
      <c r="D9" s="202" t="s">
        <v>5</v>
      </c>
      <c r="E9" s="41" t="s">
        <v>9</v>
      </c>
      <c r="F9" s="21"/>
      <c r="G9" s="21"/>
      <c r="H9" s="35" t="s">
        <v>9</v>
      </c>
      <c r="I9" s="21" t="s">
        <v>9</v>
      </c>
      <c r="J9" s="21" t="s">
        <v>9</v>
      </c>
      <c r="K9" s="210" t="s">
        <v>9</v>
      </c>
      <c r="L9" s="210" t="s">
        <v>9</v>
      </c>
      <c r="M9" s="210"/>
      <c r="N9" s="210" t="s">
        <v>9</v>
      </c>
      <c r="O9" s="242">
        <f t="shared" si="1"/>
        <v>7</v>
      </c>
      <c r="P9" s="78">
        <f t="shared" si="4"/>
        <v>0</v>
      </c>
      <c r="Q9" s="273">
        <f t="shared" si="2"/>
        <v>7</v>
      </c>
      <c r="R9" s="269">
        <v>320000</v>
      </c>
      <c r="S9" s="77">
        <f t="shared" si="3"/>
        <v>2240000</v>
      </c>
      <c r="T9" s="251"/>
    </row>
    <row r="10" spans="1:21" s="31" customFormat="1" x14ac:dyDescent="0.3">
      <c r="A10" s="61">
        <f t="shared" si="5"/>
        <v>7</v>
      </c>
      <c r="B10" s="28" t="s">
        <v>34</v>
      </c>
      <c r="C10" s="48" t="s">
        <v>80</v>
      </c>
      <c r="D10" s="202" t="s">
        <v>5</v>
      </c>
      <c r="E10" s="41" t="s">
        <v>9</v>
      </c>
      <c r="F10" s="21"/>
      <c r="G10" s="21" t="s">
        <v>9</v>
      </c>
      <c r="H10" s="35" t="s">
        <v>9</v>
      </c>
      <c r="I10" s="21" t="s">
        <v>9</v>
      </c>
      <c r="J10" s="21" t="s">
        <v>9</v>
      </c>
      <c r="K10" s="210" t="s">
        <v>9</v>
      </c>
      <c r="L10" s="210" t="s">
        <v>9</v>
      </c>
      <c r="M10" s="210"/>
      <c r="N10" s="210" t="s">
        <v>9</v>
      </c>
      <c r="O10" s="242">
        <f t="shared" si="1"/>
        <v>8</v>
      </c>
      <c r="P10" s="78">
        <f t="shared" si="4"/>
        <v>0</v>
      </c>
      <c r="Q10" s="273">
        <f t="shared" si="2"/>
        <v>8</v>
      </c>
      <c r="R10" s="269">
        <v>300000</v>
      </c>
      <c r="S10" s="77">
        <f t="shared" si="3"/>
        <v>2400000</v>
      </c>
      <c r="T10" s="252"/>
    </row>
    <row r="11" spans="1:21" s="31" customFormat="1" x14ac:dyDescent="0.3">
      <c r="A11" s="61">
        <f t="shared" si="5"/>
        <v>8</v>
      </c>
      <c r="B11" s="28" t="s">
        <v>46</v>
      </c>
      <c r="C11" s="48" t="s">
        <v>60</v>
      </c>
      <c r="D11" s="202" t="s">
        <v>5</v>
      </c>
      <c r="E11" s="41" t="s">
        <v>9</v>
      </c>
      <c r="F11" s="21" t="s">
        <v>8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10" t="s">
        <v>9</v>
      </c>
      <c r="N11" s="210" t="s">
        <v>9</v>
      </c>
      <c r="O11" s="242">
        <f t="shared" si="1"/>
        <v>9</v>
      </c>
      <c r="P11" s="78">
        <f t="shared" si="4"/>
        <v>0.5</v>
      </c>
      <c r="Q11" s="273">
        <f t="shared" si="2"/>
        <v>9.5</v>
      </c>
      <c r="R11" s="269">
        <v>360000</v>
      </c>
      <c r="S11" s="77">
        <f t="shared" si="3"/>
        <v>3420000</v>
      </c>
      <c r="T11" s="251"/>
    </row>
    <row r="12" spans="1:21" s="31" customFormat="1" x14ac:dyDescent="0.3">
      <c r="A12" s="61">
        <f t="shared" si="5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10"/>
      <c r="O12" s="242">
        <f t="shared" si="1"/>
        <v>0</v>
      </c>
      <c r="P12" s="78">
        <f t="shared" si="4"/>
        <v>0</v>
      </c>
      <c r="Q12" s="273">
        <f t="shared" si="2"/>
        <v>0</v>
      </c>
      <c r="R12" s="269">
        <v>400000</v>
      </c>
      <c r="S12" s="77">
        <f t="shared" si="3"/>
        <v>0</v>
      </c>
      <c r="T12" s="251"/>
    </row>
    <row r="13" spans="1:21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10"/>
      <c r="O13" s="242">
        <f t="shared" si="1"/>
        <v>0</v>
      </c>
      <c r="P13" s="78">
        <f t="shared" si="4"/>
        <v>0</v>
      </c>
      <c r="Q13" s="273">
        <f t="shared" si="2"/>
        <v>0</v>
      </c>
      <c r="R13" s="269">
        <v>280000</v>
      </c>
      <c r="S13" s="77">
        <f t="shared" si="3"/>
        <v>0</v>
      </c>
      <c r="T13" s="251"/>
    </row>
    <row r="14" spans="1:21" s="31" customFormat="1" x14ac:dyDescent="0.3">
      <c r="A14" s="61">
        <f t="shared" si="5"/>
        <v>11</v>
      </c>
      <c r="B14" s="28" t="s">
        <v>41</v>
      </c>
      <c r="C14" s="48" t="s">
        <v>80</v>
      </c>
      <c r="D14" s="202" t="s">
        <v>4</v>
      </c>
      <c r="E14" s="41" t="s">
        <v>9</v>
      </c>
      <c r="F14" s="21" t="s">
        <v>8</v>
      </c>
      <c r="G14" s="21" t="s">
        <v>9</v>
      </c>
      <c r="H14" s="35" t="s">
        <v>9</v>
      </c>
      <c r="I14" s="21" t="s">
        <v>9</v>
      </c>
      <c r="J14" s="21" t="s">
        <v>9</v>
      </c>
      <c r="K14" s="210" t="s">
        <v>9</v>
      </c>
      <c r="L14" s="210" t="s">
        <v>9</v>
      </c>
      <c r="M14" s="210" t="s">
        <v>9</v>
      </c>
      <c r="N14" s="210" t="s">
        <v>9</v>
      </c>
      <c r="O14" s="242">
        <f t="shared" si="1"/>
        <v>9</v>
      </c>
      <c r="P14" s="78">
        <f t="shared" si="4"/>
        <v>0.5</v>
      </c>
      <c r="Q14" s="273">
        <f t="shared" si="2"/>
        <v>9.5</v>
      </c>
      <c r="R14" s="269">
        <v>400000</v>
      </c>
      <c r="S14" s="77">
        <f t="shared" si="3"/>
        <v>3800000</v>
      </c>
      <c r="T14" s="251"/>
    </row>
    <row r="15" spans="1:21" s="31" customFormat="1" x14ac:dyDescent="0.3">
      <c r="A15" s="61">
        <f t="shared" si="5"/>
        <v>12</v>
      </c>
      <c r="B15" s="28" t="s">
        <v>47</v>
      </c>
      <c r="C15" s="48"/>
      <c r="D15" s="202" t="s">
        <v>4</v>
      </c>
      <c r="E15" s="41" t="s">
        <v>9</v>
      </c>
      <c r="F15" s="21"/>
      <c r="G15" s="21" t="s">
        <v>9</v>
      </c>
      <c r="H15" s="35" t="s">
        <v>9</v>
      </c>
      <c r="I15" s="21" t="s">
        <v>9</v>
      </c>
      <c r="J15" s="21" t="s">
        <v>9</v>
      </c>
      <c r="K15" s="210" t="s">
        <v>9</v>
      </c>
      <c r="L15" s="210" t="s">
        <v>9</v>
      </c>
      <c r="M15" s="210" t="s">
        <v>9</v>
      </c>
      <c r="N15" s="210" t="s">
        <v>9</v>
      </c>
      <c r="O15" s="242">
        <f t="shared" si="1"/>
        <v>9</v>
      </c>
      <c r="P15" s="78">
        <f t="shared" si="4"/>
        <v>0</v>
      </c>
      <c r="Q15" s="273">
        <f t="shared" si="2"/>
        <v>9</v>
      </c>
      <c r="R15" s="269">
        <v>390000</v>
      </c>
      <c r="S15" s="77">
        <f t="shared" si="3"/>
        <v>3510000</v>
      </c>
      <c r="T15" s="251"/>
    </row>
    <row r="16" spans="1:21" s="31" customFormat="1" x14ac:dyDescent="0.3">
      <c r="A16" s="61">
        <f t="shared" si="5"/>
        <v>13</v>
      </c>
      <c r="B16" s="28" t="s">
        <v>61</v>
      </c>
      <c r="C16" s="48" t="s">
        <v>60</v>
      </c>
      <c r="D16" s="203" t="s">
        <v>4</v>
      </c>
      <c r="E16" s="41" t="s">
        <v>9</v>
      </c>
      <c r="F16" s="21"/>
      <c r="G16" s="21" t="s">
        <v>9</v>
      </c>
      <c r="H16" s="35" t="s">
        <v>9</v>
      </c>
      <c r="I16" s="21" t="s">
        <v>9</v>
      </c>
      <c r="J16" s="21" t="s">
        <v>9</v>
      </c>
      <c r="K16" s="210" t="s">
        <v>9</v>
      </c>
      <c r="L16" s="210" t="s">
        <v>9</v>
      </c>
      <c r="M16" s="210" t="s">
        <v>9</v>
      </c>
      <c r="N16" s="210" t="s">
        <v>9</v>
      </c>
      <c r="O16" s="242">
        <f t="shared" si="1"/>
        <v>9</v>
      </c>
      <c r="P16" s="78">
        <f t="shared" si="4"/>
        <v>0</v>
      </c>
      <c r="Q16" s="273">
        <f t="shared" si="2"/>
        <v>9</v>
      </c>
      <c r="R16" s="270">
        <v>370000</v>
      </c>
      <c r="S16" s="77">
        <f t="shared" si="3"/>
        <v>3330000</v>
      </c>
      <c r="T16" s="251"/>
    </row>
    <row r="17" spans="1:21" s="31" customFormat="1" x14ac:dyDescent="0.3">
      <c r="A17" s="61">
        <f t="shared" si="5"/>
        <v>14</v>
      </c>
      <c r="B17" s="28" t="s">
        <v>62</v>
      </c>
      <c r="C17" s="48"/>
      <c r="D17" s="203" t="s">
        <v>4</v>
      </c>
      <c r="E17" s="41"/>
      <c r="F17" s="21"/>
      <c r="G17" s="21"/>
      <c r="H17" s="35"/>
      <c r="I17" s="21"/>
      <c r="J17" s="21"/>
      <c r="K17" s="210"/>
      <c r="L17" s="210"/>
      <c r="M17" s="210"/>
      <c r="N17" s="210"/>
      <c r="O17" s="242">
        <f t="shared" si="1"/>
        <v>0</v>
      </c>
      <c r="P17" s="78">
        <f t="shared" si="4"/>
        <v>0</v>
      </c>
      <c r="Q17" s="273">
        <f t="shared" si="2"/>
        <v>0</v>
      </c>
      <c r="R17" s="270">
        <v>360000</v>
      </c>
      <c r="S17" s="77">
        <f t="shared" si="3"/>
        <v>0</v>
      </c>
      <c r="T17" s="251"/>
    </row>
    <row r="18" spans="1:21" s="31" customFormat="1" x14ac:dyDescent="0.3">
      <c r="A18" s="61">
        <f t="shared" si="5"/>
        <v>15</v>
      </c>
      <c r="B18" s="28" t="s">
        <v>63</v>
      </c>
      <c r="C18" s="48" t="s">
        <v>60</v>
      </c>
      <c r="D18" s="203" t="s">
        <v>4</v>
      </c>
      <c r="E18" s="41" t="s">
        <v>9</v>
      </c>
      <c r="F18" s="21" t="s">
        <v>8</v>
      </c>
      <c r="G18" s="21" t="s">
        <v>9</v>
      </c>
      <c r="H18" s="35" t="s">
        <v>9</v>
      </c>
      <c r="I18" s="21" t="s">
        <v>9</v>
      </c>
      <c r="J18" s="21" t="s">
        <v>9</v>
      </c>
      <c r="K18" s="210" t="s">
        <v>9</v>
      </c>
      <c r="L18" s="210" t="s">
        <v>9</v>
      </c>
      <c r="M18" s="210" t="s">
        <v>9</v>
      </c>
      <c r="N18" s="210" t="s">
        <v>9</v>
      </c>
      <c r="O18" s="242">
        <f t="shared" si="1"/>
        <v>9</v>
      </c>
      <c r="P18" s="78">
        <f t="shared" si="4"/>
        <v>0.5</v>
      </c>
      <c r="Q18" s="273">
        <f t="shared" si="2"/>
        <v>9.5</v>
      </c>
      <c r="R18" s="270">
        <v>380000</v>
      </c>
      <c r="S18" s="77">
        <f t="shared" si="3"/>
        <v>3610000</v>
      </c>
      <c r="T18" s="251"/>
    </row>
    <row r="19" spans="1:21" s="31" customFormat="1" x14ac:dyDescent="0.3">
      <c r="A19" s="61">
        <f t="shared" si="5"/>
        <v>16</v>
      </c>
      <c r="B19" s="28" t="s">
        <v>59</v>
      </c>
      <c r="C19" s="48" t="s">
        <v>60</v>
      </c>
      <c r="D19" s="203" t="s">
        <v>5</v>
      </c>
      <c r="E19" s="41" t="s">
        <v>9</v>
      </c>
      <c r="F19" s="21"/>
      <c r="G19" s="21" t="s">
        <v>9</v>
      </c>
      <c r="H19" s="35" t="s">
        <v>9</v>
      </c>
      <c r="I19" s="21"/>
      <c r="J19" s="21"/>
      <c r="K19" s="210"/>
      <c r="L19" s="210"/>
      <c r="M19" s="210"/>
      <c r="N19" s="210"/>
      <c r="O19" s="242">
        <f t="shared" si="1"/>
        <v>3</v>
      </c>
      <c r="P19" s="78">
        <f t="shared" si="4"/>
        <v>0</v>
      </c>
      <c r="Q19" s="273">
        <f t="shared" si="2"/>
        <v>3</v>
      </c>
      <c r="R19" s="270">
        <v>270000</v>
      </c>
      <c r="S19" s="77">
        <f t="shared" si="3"/>
        <v>810000</v>
      </c>
      <c r="T19" s="251"/>
    </row>
    <row r="20" spans="1:21" s="31" customFormat="1" x14ac:dyDescent="0.3">
      <c r="A20" s="61">
        <f t="shared" si="5"/>
        <v>17</v>
      </c>
      <c r="B20" s="28" t="s">
        <v>64</v>
      </c>
      <c r="C20" s="48" t="s">
        <v>60</v>
      </c>
      <c r="D20" s="203" t="s">
        <v>4</v>
      </c>
      <c r="E20" s="41" t="s">
        <v>9</v>
      </c>
      <c r="F20" s="21"/>
      <c r="G20" s="21" t="s">
        <v>9</v>
      </c>
      <c r="H20" s="35" t="s">
        <v>9</v>
      </c>
      <c r="I20" s="21" t="s">
        <v>9</v>
      </c>
      <c r="J20" s="21" t="s">
        <v>9</v>
      </c>
      <c r="K20" s="210" t="s">
        <v>9</v>
      </c>
      <c r="L20" s="210" t="s">
        <v>9</v>
      </c>
      <c r="M20" s="210"/>
      <c r="N20" s="210" t="s">
        <v>9</v>
      </c>
      <c r="O20" s="242">
        <f t="shared" si="1"/>
        <v>8</v>
      </c>
      <c r="P20" s="78">
        <f t="shared" si="4"/>
        <v>0</v>
      </c>
      <c r="Q20" s="273">
        <f t="shared" si="2"/>
        <v>8</v>
      </c>
      <c r="R20" s="270">
        <v>380000</v>
      </c>
      <c r="S20" s="77">
        <f t="shared" si="3"/>
        <v>3040000</v>
      </c>
      <c r="T20" s="251"/>
    </row>
    <row r="21" spans="1:21" s="55" customFormat="1" x14ac:dyDescent="0.3">
      <c r="A21" s="61">
        <f t="shared" si="5"/>
        <v>18</v>
      </c>
      <c r="B21" s="158" t="s">
        <v>65</v>
      </c>
      <c r="C21" s="29" t="s">
        <v>60</v>
      </c>
      <c r="D21" s="203" t="s">
        <v>4</v>
      </c>
      <c r="E21" s="41"/>
      <c r="F21" s="21"/>
      <c r="G21" s="21"/>
      <c r="H21" s="35"/>
      <c r="I21" s="21"/>
      <c r="J21" s="21" t="s">
        <v>9</v>
      </c>
      <c r="K21" s="210" t="s">
        <v>9</v>
      </c>
      <c r="L21" s="210" t="s">
        <v>9</v>
      </c>
      <c r="M21" s="210" t="s">
        <v>9</v>
      </c>
      <c r="N21" s="210" t="s">
        <v>9</v>
      </c>
      <c r="O21" s="242">
        <f t="shared" si="1"/>
        <v>5</v>
      </c>
      <c r="P21" s="78">
        <f t="shared" si="4"/>
        <v>0</v>
      </c>
      <c r="Q21" s="273">
        <f t="shared" si="2"/>
        <v>5</v>
      </c>
      <c r="R21" s="270">
        <v>370000</v>
      </c>
      <c r="S21" s="77">
        <f t="shared" si="3"/>
        <v>1850000</v>
      </c>
      <c r="T21" s="252"/>
    </row>
    <row r="22" spans="1:21" s="31" customFormat="1" x14ac:dyDescent="0.3">
      <c r="A22" s="61">
        <f t="shared" si="5"/>
        <v>19</v>
      </c>
      <c r="B22" s="48" t="s">
        <v>126</v>
      </c>
      <c r="C22" s="48"/>
      <c r="D22" s="204" t="s">
        <v>5</v>
      </c>
      <c r="E22" s="41"/>
      <c r="F22" s="21"/>
      <c r="G22" s="21"/>
      <c r="H22" s="35"/>
      <c r="I22" s="21" t="s">
        <v>9</v>
      </c>
      <c r="J22" s="21" t="s">
        <v>9</v>
      </c>
      <c r="K22" s="210" t="s">
        <v>9</v>
      </c>
      <c r="L22" s="210" t="s">
        <v>9</v>
      </c>
      <c r="M22" s="210" t="s">
        <v>9</v>
      </c>
      <c r="N22" s="210" t="s">
        <v>9</v>
      </c>
      <c r="O22" s="242">
        <f t="shared" si="1"/>
        <v>6</v>
      </c>
      <c r="P22" s="78">
        <f t="shared" si="4"/>
        <v>0</v>
      </c>
      <c r="Q22" s="273">
        <f t="shared" si="2"/>
        <v>6</v>
      </c>
      <c r="R22" s="269">
        <v>280000</v>
      </c>
      <c r="S22" s="77">
        <f t="shared" si="3"/>
        <v>1680000</v>
      </c>
      <c r="T22" s="251"/>
    </row>
    <row r="23" spans="1:21" s="31" customFormat="1" x14ac:dyDescent="0.3">
      <c r="A23" s="61">
        <f t="shared" si="5"/>
        <v>20</v>
      </c>
      <c r="B23" s="116" t="s">
        <v>143</v>
      </c>
      <c r="C23" s="116"/>
      <c r="D23" s="205" t="s">
        <v>4</v>
      </c>
      <c r="E23" s="41" t="s">
        <v>9</v>
      </c>
      <c r="F23" s="21" t="s">
        <v>8</v>
      </c>
      <c r="G23" s="21" t="s">
        <v>9</v>
      </c>
      <c r="H23" s="35" t="s">
        <v>9</v>
      </c>
      <c r="I23" s="21" t="s">
        <v>9</v>
      </c>
      <c r="J23" s="21" t="s">
        <v>9</v>
      </c>
      <c r="K23" s="210" t="s">
        <v>9</v>
      </c>
      <c r="L23" s="210" t="s">
        <v>9</v>
      </c>
      <c r="M23" s="210" t="s">
        <v>9</v>
      </c>
      <c r="N23" s="210" t="s">
        <v>9</v>
      </c>
      <c r="O23" s="242">
        <f t="shared" si="1"/>
        <v>9</v>
      </c>
      <c r="P23" s="78">
        <f t="shared" si="4"/>
        <v>0.5</v>
      </c>
      <c r="Q23" s="273">
        <f t="shared" si="2"/>
        <v>9.5</v>
      </c>
      <c r="R23" s="270">
        <v>380000</v>
      </c>
      <c r="S23" s="77">
        <f t="shared" si="3"/>
        <v>3610000</v>
      </c>
      <c r="T23" s="253"/>
    </row>
    <row r="24" spans="1:21" s="31" customFormat="1" x14ac:dyDescent="0.3">
      <c r="A24" s="61">
        <f t="shared" si="5"/>
        <v>21</v>
      </c>
      <c r="B24" s="116" t="s">
        <v>144</v>
      </c>
      <c r="C24" s="116"/>
      <c r="D24" s="205" t="s">
        <v>4</v>
      </c>
      <c r="E24" s="41" t="s">
        <v>9</v>
      </c>
      <c r="F24" s="21" t="s">
        <v>8</v>
      </c>
      <c r="G24" s="21" t="s">
        <v>9</v>
      </c>
      <c r="H24" s="35" t="s">
        <v>9</v>
      </c>
      <c r="I24" s="21" t="s">
        <v>9</v>
      </c>
      <c r="J24" s="21" t="s">
        <v>9</v>
      </c>
      <c r="K24" s="210" t="s">
        <v>9</v>
      </c>
      <c r="L24" s="210" t="s">
        <v>9</v>
      </c>
      <c r="M24" s="210" t="s">
        <v>9</v>
      </c>
      <c r="N24" s="210" t="s">
        <v>9</v>
      </c>
      <c r="O24" s="242">
        <f t="shared" si="1"/>
        <v>9</v>
      </c>
      <c r="P24" s="78">
        <f t="shared" si="4"/>
        <v>0.5</v>
      </c>
      <c r="Q24" s="273">
        <f t="shared" si="2"/>
        <v>9.5</v>
      </c>
      <c r="R24" s="270">
        <v>280000</v>
      </c>
      <c r="S24" s="77">
        <f t="shared" si="3"/>
        <v>2660000</v>
      </c>
      <c r="T24" s="253"/>
    </row>
    <row r="25" spans="1:21" s="31" customFormat="1" x14ac:dyDescent="0.3">
      <c r="A25" s="61">
        <f t="shared" si="5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10"/>
      <c r="O25" s="242">
        <f t="shared" si="1"/>
        <v>0</v>
      </c>
      <c r="P25" s="78">
        <f t="shared" si="4"/>
        <v>0</v>
      </c>
      <c r="Q25" s="273">
        <f t="shared" si="2"/>
        <v>0</v>
      </c>
      <c r="R25" s="270">
        <v>270000</v>
      </c>
      <c r="S25" s="77">
        <f t="shared" si="3"/>
        <v>0</v>
      </c>
      <c r="T25" s="253"/>
    </row>
    <row r="26" spans="1:21" s="31" customFormat="1" x14ac:dyDescent="0.3">
      <c r="A26" s="61">
        <f t="shared" si="5"/>
        <v>23</v>
      </c>
      <c r="B26" s="116" t="s">
        <v>171</v>
      </c>
      <c r="C26" s="116"/>
      <c r="D26" s="205" t="s">
        <v>5</v>
      </c>
      <c r="E26" s="127" t="s">
        <v>9</v>
      </c>
      <c r="F26" s="21"/>
      <c r="G26" s="21" t="s">
        <v>9</v>
      </c>
      <c r="H26" s="35" t="s">
        <v>9</v>
      </c>
      <c r="I26" s="21" t="s">
        <v>9</v>
      </c>
      <c r="J26" s="21" t="s">
        <v>9</v>
      </c>
      <c r="K26" s="210" t="s">
        <v>9</v>
      </c>
      <c r="L26" s="210" t="s">
        <v>9</v>
      </c>
      <c r="M26" s="210" t="s">
        <v>9</v>
      </c>
      <c r="N26" s="210" t="s">
        <v>8</v>
      </c>
      <c r="O26" s="242">
        <f t="shared" si="1"/>
        <v>8</v>
      </c>
      <c r="P26" s="78">
        <f t="shared" si="4"/>
        <v>0.5</v>
      </c>
      <c r="Q26" s="273">
        <f t="shared" si="2"/>
        <v>8.5</v>
      </c>
      <c r="R26" s="270">
        <v>280000</v>
      </c>
      <c r="S26" s="54">
        <f t="shared" si="3"/>
        <v>2380000</v>
      </c>
      <c r="T26" s="253"/>
    </row>
    <row r="27" spans="1:21" s="31" customFormat="1" x14ac:dyDescent="0.3">
      <c r="A27" s="61">
        <f t="shared" si="5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211"/>
      <c r="O27" s="242">
        <f t="shared" si="1"/>
        <v>0</v>
      </c>
      <c r="P27" s="78">
        <f t="shared" si="4"/>
        <v>0</v>
      </c>
      <c r="Q27" s="273">
        <f t="shared" si="2"/>
        <v>0</v>
      </c>
      <c r="R27" s="270">
        <v>370000</v>
      </c>
      <c r="S27" s="54">
        <f t="shared" si="3"/>
        <v>0</v>
      </c>
      <c r="T27" s="253"/>
    </row>
    <row r="28" spans="1:21" s="31" customFormat="1" x14ac:dyDescent="0.3">
      <c r="A28" s="61">
        <v>25</v>
      </c>
      <c r="B28" s="116" t="s">
        <v>194</v>
      </c>
      <c r="C28" s="116"/>
      <c r="D28" s="205" t="s">
        <v>4</v>
      </c>
      <c r="E28" s="127" t="s">
        <v>9</v>
      </c>
      <c r="F28" s="32"/>
      <c r="G28" s="32"/>
      <c r="H28" s="36" t="s">
        <v>9</v>
      </c>
      <c r="I28" s="32" t="s">
        <v>9</v>
      </c>
      <c r="J28" s="32" t="s">
        <v>9</v>
      </c>
      <c r="K28" s="211" t="s">
        <v>9</v>
      </c>
      <c r="L28" s="211" t="s">
        <v>9</v>
      </c>
      <c r="M28" s="211" t="s">
        <v>8</v>
      </c>
      <c r="N28" s="211"/>
      <c r="O28" s="242">
        <f t="shared" si="1"/>
        <v>6</v>
      </c>
      <c r="P28" s="78">
        <f t="shared" si="4"/>
        <v>0.5</v>
      </c>
      <c r="Q28" s="273">
        <f t="shared" si="2"/>
        <v>6.5</v>
      </c>
      <c r="R28" s="270">
        <v>400000</v>
      </c>
      <c r="S28" s="54">
        <f t="shared" si="3"/>
        <v>2600000</v>
      </c>
      <c r="T28" s="256">
        <v>1000000</v>
      </c>
      <c r="U28" s="31" t="s">
        <v>381</v>
      </c>
    </row>
    <row r="29" spans="1:21" s="31" customFormat="1" x14ac:dyDescent="0.3">
      <c r="A29" s="61">
        <f t="shared" si="5"/>
        <v>26</v>
      </c>
      <c r="B29" s="116" t="s">
        <v>220</v>
      </c>
      <c r="C29" s="116"/>
      <c r="D29" s="205" t="s">
        <v>4</v>
      </c>
      <c r="E29" s="127" t="s">
        <v>9</v>
      </c>
      <c r="F29" s="32"/>
      <c r="G29" s="32"/>
      <c r="H29" s="36" t="s">
        <v>9</v>
      </c>
      <c r="I29" s="32" t="s">
        <v>9</v>
      </c>
      <c r="J29" s="32" t="s">
        <v>9</v>
      </c>
      <c r="K29" s="211" t="s">
        <v>9</v>
      </c>
      <c r="L29" s="211" t="s">
        <v>9</v>
      </c>
      <c r="M29" s="211"/>
      <c r="N29" s="211"/>
      <c r="O29" s="242">
        <f t="shared" si="1"/>
        <v>6</v>
      </c>
      <c r="P29" s="78">
        <f t="shared" si="4"/>
        <v>0</v>
      </c>
      <c r="Q29" s="273">
        <f t="shared" si="2"/>
        <v>6</v>
      </c>
      <c r="R29" s="270">
        <v>370000</v>
      </c>
      <c r="S29" s="54">
        <f t="shared" si="3"/>
        <v>2220000</v>
      </c>
      <c r="T29" s="256">
        <v>2000000</v>
      </c>
      <c r="U29" s="31" t="s">
        <v>382</v>
      </c>
    </row>
    <row r="30" spans="1:21" s="31" customFormat="1" x14ac:dyDescent="0.3">
      <c r="A30" s="61">
        <f t="shared" si="5"/>
        <v>27</v>
      </c>
      <c r="B30" s="116" t="s">
        <v>221</v>
      </c>
      <c r="C30" s="116"/>
      <c r="D30" s="205" t="s">
        <v>4</v>
      </c>
      <c r="E30" s="127"/>
      <c r="F30" s="32"/>
      <c r="G30" s="32"/>
      <c r="H30" s="36"/>
      <c r="I30" s="32" t="s">
        <v>9</v>
      </c>
      <c r="J30" s="32" t="s">
        <v>9</v>
      </c>
      <c r="K30" s="211" t="s">
        <v>9</v>
      </c>
      <c r="L30" s="211"/>
      <c r="M30" s="211"/>
      <c r="N30" s="211" t="s">
        <v>9</v>
      </c>
      <c r="O30" s="242">
        <f t="shared" si="1"/>
        <v>4</v>
      </c>
      <c r="P30" s="78">
        <f t="shared" si="4"/>
        <v>0</v>
      </c>
      <c r="Q30" s="273">
        <f t="shared" si="2"/>
        <v>4</v>
      </c>
      <c r="R30" s="270">
        <v>380000</v>
      </c>
      <c r="S30" s="54">
        <f t="shared" si="3"/>
        <v>1520000</v>
      </c>
      <c r="T30" s="290"/>
    </row>
    <row r="31" spans="1:21" s="31" customFormat="1" x14ac:dyDescent="0.3">
      <c r="A31" s="61">
        <f t="shared" si="5"/>
        <v>28</v>
      </c>
      <c r="B31" s="48" t="s">
        <v>222</v>
      </c>
      <c r="C31" s="48"/>
      <c r="D31" s="204" t="s">
        <v>4</v>
      </c>
      <c r="E31" s="41" t="s">
        <v>9</v>
      </c>
      <c r="F31" s="32"/>
      <c r="G31" s="32" t="s">
        <v>9</v>
      </c>
      <c r="H31" s="36" t="s">
        <v>9</v>
      </c>
      <c r="I31" s="32" t="s">
        <v>9</v>
      </c>
      <c r="J31" s="32" t="s">
        <v>9</v>
      </c>
      <c r="K31" s="211" t="s">
        <v>9</v>
      </c>
      <c r="L31" s="211" t="s">
        <v>9</v>
      </c>
      <c r="M31" s="211" t="s">
        <v>9</v>
      </c>
      <c r="N31" s="211" t="s">
        <v>9</v>
      </c>
      <c r="O31" s="242">
        <f t="shared" si="1"/>
        <v>9</v>
      </c>
      <c r="P31" s="78">
        <f t="shared" si="4"/>
        <v>0</v>
      </c>
      <c r="Q31" s="273">
        <f t="shared" si="2"/>
        <v>9</v>
      </c>
      <c r="R31" s="270">
        <v>360000</v>
      </c>
      <c r="S31" s="54">
        <f t="shared" si="3"/>
        <v>3240000</v>
      </c>
      <c r="T31" s="253"/>
    </row>
    <row r="32" spans="1:21" s="31" customFormat="1" x14ac:dyDescent="0.3">
      <c r="A32" s="61">
        <f t="shared" si="5"/>
        <v>29</v>
      </c>
      <c r="B32" s="116" t="s">
        <v>223</v>
      </c>
      <c r="C32" s="116"/>
      <c r="D32" s="205" t="s">
        <v>5</v>
      </c>
      <c r="E32" s="41"/>
      <c r="F32" s="32"/>
      <c r="G32" s="32"/>
      <c r="H32" s="36"/>
      <c r="I32" s="32"/>
      <c r="J32" s="32"/>
      <c r="K32" s="211"/>
      <c r="L32" s="211"/>
      <c r="M32" s="211"/>
      <c r="N32" s="211"/>
      <c r="O32" s="242">
        <f t="shared" si="1"/>
        <v>0</v>
      </c>
      <c r="P32" s="78">
        <f t="shared" si="4"/>
        <v>0</v>
      </c>
      <c r="Q32" s="273">
        <f t="shared" si="2"/>
        <v>0</v>
      </c>
      <c r="R32" s="270">
        <v>280000</v>
      </c>
      <c r="S32" s="54">
        <f>Q32*R32</f>
        <v>0</v>
      </c>
      <c r="T32" s="253"/>
    </row>
    <row r="33" spans="1:21" s="31" customFormat="1" x14ac:dyDescent="0.3">
      <c r="A33" s="61">
        <f t="shared" si="5"/>
        <v>30</v>
      </c>
      <c r="B33" s="116" t="s">
        <v>224</v>
      </c>
      <c r="C33" s="116"/>
      <c r="D33" s="205" t="s">
        <v>4</v>
      </c>
      <c r="E33" s="127"/>
      <c r="F33" s="32"/>
      <c r="G33" s="32"/>
      <c r="H33" s="36"/>
      <c r="I33" s="32"/>
      <c r="J33" s="32"/>
      <c r="K33" s="211"/>
      <c r="L33" s="211"/>
      <c r="M33" s="211"/>
      <c r="N33" s="211"/>
      <c r="O33" s="242">
        <f t="shared" si="1"/>
        <v>0</v>
      </c>
      <c r="P33" s="78">
        <f t="shared" si="4"/>
        <v>0</v>
      </c>
      <c r="Q33" s="273">
        <f t="shared" si="2"/>
        <v>0</v>
      </c>
      <c r="R33" s="270">
        <v>370000</v>
      </c>
      <c r="S33" s="54">
        <f t="shared" si="3"/>
        <v>0</v>
      </c>
      <c r="T33" s="253"/>
    </row>
    <row r="34" spans="1:21" s="31" customFormat="1" x14ac:dyDescent="0.3">
      <c r="A34" s="61">
        <f t="shared" si="5"/>
        <v>31</v>
      </c>
      <c r="B34" s="116" t="s">
        <v>225</v>
      </c>
      <c r="C34" s="116"/>
      <c r="D34" s="205" t="s">
        <v>5</v>
      </c>
      <c r="E34" s="127"/>
      <c r="F34" s="32"/>
      <c r="G34" s="32"/>
      <c r="H34" s="36"/>
      <c r="I34" s="32"/>
      <c r="J34" s="32"/>
      <c r="K34" s="211"/>
      <c r="L34" s="211"/>
      <c r="M34" s="211"/>
      <c r="N34" s="211"/>
      <c r="O34" s="242">
        <f t="shared" si="1"/>
        <v>0</v>
      </c>
      <c r="P34" s="78">
        <f t="shared" si="4"/>
        <v>0</v>
      </c>
      <c r="Q34" s="273">
        <f t="shared" si="2"/>
        <v>0</v>
      </c>
      <c r="R34" s="270">
        <v>270000</v>
      </c>
      <c r="S34" s="54">
        <f t="shared" si="3"/>
        <v>0</v>
      </c>
      <c r="T34" s="253"/>
    </row>
    <row r="35" spans="1:21" s="31" customFormat="1" x14ac:dyDescent="0.3">
      <c r="A35" s="61">
        <f t="shared" si="5"/>
        <v>32</v>
      </c>
      <c r="B35" s="116" t="s">
        <v>226</v>
      </c>
      <c r="C35" s="116"/>
      <c r="D35" s="205" t="s">
        <v>4</v>
      </c>
      <c r="E35" s="127"/>
      <c r="F35" s="32"/>
      <c r="G35" s="32"/>
      <c r="H35" s="36"/>
      <c r="I35" s="32"/>
      <c r="J35" s="32"/>
      <c r="K35" s="211"/>
      <c r="L35" s="211"/>
      <c r="M35" s="211"/>
      <c r="N35" s="211"/>
      <c r="O35" s="242">
        <f t="shared" si="1"/>
        <v>0</v>
      </c>
      <c r="P35" s="78">
        <f t="shared" si="4"/>
        <v>0</v>
      </c>
      <c r="Q35" s="273">
        <f t="shared" si="2"/>
        <v>0</v>
      </c>
      <c r="R35" s="270">
        <v>360000</v>
      </c>
      <c r="S35" s="54">
        <f t="shared" si="3"/>
        <v>0</v>
      </c>
      <c r="T35" s="253"/>
    </row>
    <row r="36" spans="1:21" s="289" customFormat="1" ht="19.2" customHeight="1" x14ac:dyDescent="0.3">
      <c r="A36" s="276">
        <f t="shared" si="5"/>
        <v>33</v>
      </c>
      <c r="B36" s="277" t="s">
        <v>229</v>
      </c>
      <c r="C36" s="277"/>
      <c r="D36" s="278" t="s">
        <v>5</v>
      </c>
      <c r="E36" s="279" t="s">
        <v>9</v>
      </c>
      <c r="F36" s="280"/>
      <c r="G36" s="280" t="s">
        <v>9</v>
      </c>
      <c r="H36" s="281" t="s">
        <v>9</v>
      </c>
      <c r="I36" s="280" t="s">
        <v>9</v>
      </c>
      <c r="J36" s="280" t="s">
        <v>9</v>
      </c>
      <c r="K36" s="282" t="s">
        <v>9</v>
      </c>
      <c r="L36" s="282" t="s">
        <v>9</v>
      </c>
      <c r="M36" s="282"/>
      <c r="N36" s="282"/>
      <c r="O36" s="283">
        <f t="shared" ref="O36:O67" si="6">COUNTIF(E36:N36,"X")</f>
        <v>7</v>
      </c>
      <c r="P36" s="284">
        <f t="shared" si="4"/>
        <v>0</v>
      </c>
      <c r="Q36" s="285">
        <f t="shared" si="2"/>
        <v>7</v>
      </c>
      <c r="R36" s="286">
        <v>280000</v>
      </c>
      <c r="S36" s="287">
        <f>Q36*R36+80000</f>
        <v>2040000</v>
      </c>
      <c r="T36" s="288"/>
      <c r="U36" s="292" t="s">
        <v>384</v>
      </c>
    </row>
    <row r="37" spans="1:21" s="55" customFormat="1" x14ac:dyDescent="0.3">
      <c r="A37" s="61">
        <f t="shared" si="5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211"/>
      <c r="O37" s="242">
        <f t="shared" si="6"/>
        <v>0</v>
      </c>
      <c r="P37" s="78">
        <f t="shared" ref="P37:P68" si="7">COUNTIF(E37:N37,"X/2")/2</f>
        <v>0</v>
      </c>
      <c r="Q37" s="273">
        <f t="shared" si="2"/>
        <v>0</v>
      </c>
      <c r="R37" s="270">
        <v>260000</v>
      </c>
      <c r="S37" s="54">
        <f t="shared" si="3"/>
        <v>0</v>
      </c>
      <c r="T37" s="254"/>
    </row>
    <row r="38" spans="1:21" s="31" customFormat="1" x14ac:dyDescent="0.3">
      <c r="A38" s="61">
        <f t="shared" si="5"/>
        <v>35</v>
      </c>
      <c r="B38" s="116" t="s">
        <v>231</v>
      </c>
      <c r="C38" s="116"/>
      <c r="D38" s="205" t="s">
        <v>4</v>
      </c>
      <c r="E38" s="127"/>
      <c r="F38" s="32"/>
      <c r="G38" s="32"/>
      <c r="H38" s="36" t="s">
        <v>9</v>
      </c>
      <c r="I38" s="32" t="s">
        <v>9</v>
      </c>
      <c r="J38" s="32" t="s">
        <v>9</v>
      </c>
      <c r="K38" s="211" t="s">
        <v>9</v>
      </c>
      <c r="L38" s="211" t="s">
        <v>9</v>
      </c>
      <c r="M38" s="211"/>
      <c r="N38" s="211" t="s">
        <v>9</v>
      </c>
      <c r="O38" s="242">
        <f t="shared" si="6"/>
        <v>6</v>
      </c>
      <c r="P38" s="78">
        <f t="shared" si="7"/>
        <v>0</v>
      </c>
      <c r="Q38" s="273">
        <f t="shared" si="2"/>
        <v>6</v>
      </c>
      <c r="R38" s="270">
        <v>360000</v>
      </c>
      <c r="S38" s="54">
        <f t="shared" si="3"/>
        <v>2160000</v>
      </c>
      <c r="T38" s="253"/>
    </row>
    <row r="39" spans="1:21" s="31" customFormat="1" x14ac:dyDescent="0.3">
      <c r="A39" s="61">
        <f t="shared" si="5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211"/>
      <c r="O39" s="242">
        <f t="shared" si="6"/>
        <v>0</v>
      </c>
      <c r="P39" s="78">
        <f t="shared" si="7"/>
        <v>0</v>
      </c>
      <c r="Q39" s="273">
        <f t="shared" si="2"/>
        <v>0</v>
      </c>
      <c r="R39" s="270">
        <v>360000</v>
      </c>
      <c r="S39" s="54">
        <f t="shared" si="3"/>
        <v>0</v>
      </c>
      <c r="T39" s="253"/>
    </row>
    <row r="40" spans="1:21" s="31" customFormat="1" x14ac:dyDescent="0.3">
      <c r="A40" s="61">
        <f t="shared" si="5"/>
        <v>37</v>
      </c>
      <c r="B40" s="116" t="s">
        <v>233</v>
      </c>
      <c r="C40" s="116"/>
      <c r="D40" s="205" t="s">
        <v>5</v>
      </c>
      <c r="E40" s="127" t="s">
        <v>9</v>
      </c>
      <c r="F40" s="32"/>
      <c r="G40" s="32" t="s">
        <v>9</v>
      </c>
      <c r="H40" s="36" t="s">
        <v>9</v>
      </c>
      <c r="I40" s="32" t="s">
        <v>9</v>
      </c>
      <c r="J40" s="32" t="s">
        <v>9</v>
      </c>
      <c r="K40" s="211" t="s">
        <v>9</v>
      </c>
      <c r="L40" s="211" t="s">
        <v>9</v>
      </c>
      <c r="M40" s="211"/>
      <c r="N40" s="211"/>
      <c r="O40" s="242">
        <f t="shared" si="6"/>
        <v>7</v>
      </c>
      <c r="P40" s="78">
        <f t="shared" si="7"/>
        <v>0</v>
      </c>
      <c r="Q40" s="273">
        <f t="shared" si="2"/>
        <v>7</v>
      </c>
      <c r="R40" s="270">
        <v>260000</v>
      </c>
      <c r="S40" s="54">
        <f t="shared" si="3"/>
        <v>1820000</v>
      </c>
      <c r="T40" s="253"/>
    </row>
    <row r="41" spans="1:21" s="31" customFormat="1" x14ac:dyDescent="0.3">
      <c r="A41" s="61">
        <f t="shared" si="5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211"/>
      <c r="O41" s="242">
        <f t="shared" si="6"/>
        <v>0</v>
      </c>
      <c r="P41" s="78">
        <f t="shared" si="7"/>
        <v>0</v>
      </c>
      <c r="Q41" s="273">
        <f t="shared" si="2"/>
        <v>0</v>
      </c>
      <c r="R41" s="270">
        <v>370000</v>
      </c>
      <c r="S41" s="54">
        <f t="shared" si="3"/>
        <v>0</v>
      </c>
      <c r="T41" s="253"/>
    </row>
    <row r="42" spans="1:21" s="31" customFormat="1" x14ac:dyDescent="0.3">
      <c r="A42" s="61">
        <f t="shared" si="5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211"/>
      <c r="O42" s="242">
        <f t="shared" si="6"/>
        <v>0</v>
      </c>
      <c r="P42" s="78">
        <f t="shared" si="7"/>
        <v>0</v>
      </c>
      <c r="Q42" s="273">
        <f t="shared" si="2"/>
        <v>0</v>
      </c>
      <c r="R42" s="270">
        <v>270000</v>
      </c>
      <c r="S42" s="54">
        <f t="shared" si="3"/>
        <v>0</v>
      </c>
      <c r="T42" s="253"/>
    </row>
    <row r="43" spans="1:21" s="289" customFormat="1" ht="19.2" customHeight="1" x14ac:dyDescent="0.3">
      <c r="A43" s="276">
        <f t="shared" si="5"/>
        <v>40</v>
      </c>
      <c r="B43" s="277" t="s">
        <v>235</v>
      </c>
      <c r="C43" s="277"/>
      <c r="D43" s="278" t="s">
        <v>4</v>
      </c>
      <c r="E43" s="279"/>
      <c r="F43" s="280"/>
      <c r="G43" s="280" t="s">
        <v>9</v>
      </c>
      <c r="H43" s="281" t="s">
        <v>9</v>
      </c>
      <c r="I43" s="280" t="s">
        <v>9</v>
      </c>
      <c r="J43" s="280" t="s">
        <v>9</v>
      </c>
      <c r="K43" s="282" t="s">
        <v>9</v>
      </c>
      <c r="L43" s="282" t="s">
        <v>9</v>
      </c>
      <c r="M43" s="282"/>
      <c r="N43" s="282" t="s">
        <v>9</v>
      </c>
      <c r="O43" s="283">
        <f t="shared" si="6"/>
        <v>7</v>
      </c>
      <c r="P43" s="284">
        <f t="shared" si="7"/>
        <v>0</v>
      </c>
      <c r="Q43" s="285">
        <f t="shared" si="2"/>
        <v>7</v>
      </c>
      <c r="R43" s="286">
        <v>370000</v>
      </c>
      <c r="S43" s="287">
        <f>Q43*R43+70000</f>
        <v>2660000</v>
      </c>
      <c r="T43" s="288"/>
      <c r="U43" s="292" t="s">
        <v>384</v>
      </c>
    </row>
    <row r="44" spans="1:21" s="31" customFormat="1" x14ac:dyDescent="0.3">
      <c r="A44" s="61">
        <f t="shared" si="5"/>
        <v>41</v>
      </c>
      <c r="B44" s="116" t="s">
        <v>237</v>
      </c>
      <c r="C44" s="116"/>
      <c r="D44" s="205" t="s">
        <v>5</v>
      </c>
      <c r="E44" s="127"/>
      <c r="F44" s="32"/>
      <c r="G44" s="32" t="s">
        <v>9</v>
      </c>
      <c r="H44" s="36" t="s">
        <v>9</v>
      </c>
      <c r="I44" s="32" t="s">
        <v>9</v>
      </c>
      <c r="J44" s="32" t="s">
        <v>9</v>
      </c>
      <c r="K44" s="211" t="s">
        <v>9</v>
      </c>
      <c r="L44" s="211" t="s">
        <v>9</v>
      </c>
      <c r="M44" s="211"/>
      <c r="N44" s="211" t="s">
        <v>9</v>
      </c>
      <c r="O44" s="242">
        <f t="shared" si="6"/>
        <v>7</v>
      </c>
      <c r="P44" s="78">
        <f t="shared" si="7"/>
        <v>0</v>
      </c>
      <c r="Q44" s="273">
        <f t="shared" si="2"/>
        <v>7</v>
      </c>
      <c r="R44" s="270">
        <v>270000</v>
      </c>
      <c r="S44" s="54">
        <f t="shared" si="3"/>
        <v>1890000</v>
      </c>
      <c r="T44" s="253"/>
    </row>
    <row r="45" spans="1:21" s="31" customFormat="1" x14ac:dyDescent="0.3">
      <c r="A45" s="61">
        <f t="shared" si="5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211"/>
      <c r="O45" s="242">
        <f t="shared" si="6"/>
        <v>0</v>
      </c>
      <c r="P45" s="78">
        <f t="shared" si="7"/>
        <v>0</v>
      </c>
      <c r="Q45" s="273">
        <f t="shared" si="2"/>
        <v>0</v>
      </c>
      <c r="R45" s="270">
        <v>270000</v>
      </c>
      <c r="S45" s="54">
        <f t="shared" si="3"/>
        <v>0</v>
      </c>
      <c r="T45" s="253"/>
    </row>
    <row r="46" spans="1:21" s="31" customFormat="1" x14ac:dyDescent="0.3">
      <c r="A46" s="61">
        <f t="shared" si="5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10"/>
      <c r="O46" s="242">
        <f t="shared" si="6"/>
        <v>0</v>
      </c>
      <c r="P46" s="78">
        <f t="shared" si="7"/>
        <v>0</v>
      </c>
      <c r="Q46" s="273">
        <f t="shared" si="2"/>
        <v>0</v>
      </c>
      <c r="R46" s="270">
        <v>270000</v>
      </c>
      <c r="S46" s="54">
        <f t="shared" si="3"/>
        <v>0</v>
      </c>
      <c r="T46" s="253"/>
    </row>
    <row r="47" spans="1:21" s="289" customFormat="1" ht="19.2" customHeight="1" x14ac:dyDescent="0.3">
      <c r="A47" s="276">
        <f t="shared" si="5"/>
        <v>44</v>
      </c>
      <c r="B47" s="277" t="s">
        <v>240</v>
      </c>
      <c r="C47" s="277"/>
      <c r="D47" s="278" t="s">
        <v>4</v>
      </c>
      <c r="E47" s="279" t="s">
        <v>9</v>
      </c>
      <c r="F47" s="280" t="s">
        <v>8</v>
      </c>
      <c r="G47" s="280" t="s">
        <v>9</v>
      </c>
      <c r="H47" s="281" t="s">
        <v>9</v>
      </c>
      <c r="I47" s="280" t="s">
        <v>9</v>
      </c>
      <c r="J47" s="280" t="s">
        <v>9</v>
      </c>
      <c r="K47" s="282" t="s">
        <v>9</v>
      </c>
      <c r="L47" s="282" t="s">
        <v>9</v>
      </c>
      <c r="M47" s="282" t="s">
        <v>9</v>
      </c>
      <c r="N47" s="282" t="s">
        <v>9</v>
      </c>
      <c r="O47" s="283">
        <f t="shared" si="6"/>
        <v>9</v>
      </c>
      <c r="P47" s="284">
        <f t="shared" si="7"/>
        <v>0.5</v>
      </c>
      <c r="Q47" s="285">
        <f t="shared" si="2"/>
        <v>9.5</v>
      </c>
      <c r="R47" s="286">
        <v>370000</v>
      </c>
      <c r="S47" s="287">
        <f>Q47*R47+70000</f>
        <v>3585000</v>
      </c>
      <c r="T47" s="288"/>
      <c r="U47" s="292" t="s">
        <v>384</v>
      </c>
    </row>
    <row r="48" spans="1:21" s="31" customFormat="1" x14ac:dyDescent="0.3">
      <c r="A48" s="61">
        <f t="shared" si="5"/>
        <v>45</v>
      </c>
      <c r="B48" s="116" t="s">
        <v>241</v>
      </c>
      <c r="C48" s="116"/>
      <c r="D48" s="205" t="s">
        <v>4</v>
      </c>
      <c r="E48" s="127" t="s">
        <v>9</v>
      </c>
      <c r="F48" s="32"/>
      <c r="G48" s="32" t="s">
        <v>9</v>
      </c>
      <c r="H48" s="36" t="s">
        <v>9</v>
      </c>
      <c r="I48" s="32" t="s">
        <v>9</v>
      </c>
      <c r="J48" s="32" t="s">
        <v>9</v>
      </c>
      <c r="K48" s="211" t="s">
        <v>9</v>
      </c>
      <c r="L48" s="211" t="s">
        <v>9</v>
      </c>
      <c r="M48" s="211" t="s">
        <v>9</v>
      </c>
      <c r="N48" s="211" t="s">
        <v>9</v>
      </c>
      <c r="O48" s="242">
        <f t="shared" si="6"/>
        <v>9</v>
      </c>
      <c r="P48" s="78">
        <f t="shared" si="7"/>
        <v>0</v>
      </c>
      <c r="Q48" s="273">
        <f t="shared" si="2"/>
        <v>9</v>
      </c>
      <c r="R48" s="270">
        <v>360000</v>
      </c>
      <c r="S48" s="54">
        <f t="shared" si="3"/>
        <v>3240000</v>
      </c>
      <c r="T48" s="253"/>
    </row>
    <row r="49" spans="1:21" s="31" customFormat="1" x14ac:dyDescent="0.3">
      <c r="A49" s="61">
        <f t="shared" si="5"/>
        <v>46</v>
      </c>
      <c r="B49" s="116" t="s">
        <v>242</v>
      </c>
      <c r="C49" s="116"/>
      <c r="D49" s="205" t="s">
        <v>5</v>
      </c>
      <c r="E49" s="127" t="s">
        <v>9</v>
      </c>
      <c r="F49" s="32" t="s">
        <v>8</v>
      </c>
      <c r="G49" s="32"/>
      <c r="H49" s="36" t="s">
        <v>9</v>
      </c>
      <c r="I49" s="32" t="s">
        <v>9</v>
      </c>
      <c r="J49" s="32" t="s">
        <v>9</v>
      </c>
      <c r="K49" s="211" t="s">
        <v>9</v>
      </c>
      <c r="L49" s="211" t="s">
        <v>9</v>
      </c>
      <c r="M49" s="211" t="s">
        <v>9</v>
      </c>
      <c r="N49" s="211" t="s">
        <v>9</v>
      </c>
      <c r="O49" s="242">
        <f t="shared" si="6"/>
        <v>8</v>
      </c>
      <c r="P49" s="78">
        <f t="shared" si="7"/>
        <v>0.5</v>
      </c>
      <c r="Q49" s="273">
        <f t="shared" si="2"/>
        <v>8.5</v>
      </c>
      <c r="R49" s="270">
        <v>270000</v>
      </c>
      <c r="S49" s="54">
        <f t="shared" si="3"/>
        <v>2295000</v>
      </c>
      <c r="T49" s="253"/>
    </row>
    <row r="50" spans="1:21" s="31" customFormat="1" x14ac:dyDescent="0.3">
      <c r="A50" s="61">
        <f t="shared" si="5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211"/>
      <c r="O50" s="242">
        <f t="shared" si="6"/>
        <v>0</v>
      </c>
      <c r="P50" s="78">
        <f t="shared" si="7"/>
        <v>0</v>
      </c>
      <c r="Q50" s="273">
        <f t="shared" si="2"/>
        <v>0</v>
      </c>
      <c r="R50" s="270">
        <v>270000</v>
      </c>
      <c r="S50" s="54">
        <f t="shared" si="3"/>
        <v>0</v>
      </c>
      <c r="T50" s="253"/>
    </row>
    <row r="51" spans="1:21" s="31" customFormat="1" x14ac:dyDescent="0.3">
      <c r="A51" s="61">
        <f t="shared" si="5"/>
        <v>48</v>
      </c>
      <c r="B51" s="116" t="s">
        <v>287</v>
      </c>
      <c r="C51" s="116"/>
      <c r="D51" s="205" t="s">
        <v>4</v>
      </c>
      <c r="E51" s="127" t="s">
        <v>9</v>
      </c>
      <c r="F51" s="32"/>
      <c r="G51" s="32" t="s">
        <v>9</v>
      </c>
      <c r="H51" s="36" t="s">
        <v>9</v>
      </c>
      <c r="I51" s="32" t="s">
        <v>9</v>
      </c>
      <c r="J51" s="32" t="s">
        <v>9</v>
      </c>
      <c r="K51" s="211" t="s">
        <v>9</v>
      </c>
      <c r="L51" s="211" t="s">
        <v>9</v>
      </c>
      <c r="M51" s="211" t="s">
        <v>9</v>
      </c>
      <c r="N51" s="211" t="s">
        <v>9</v>
      </c>
      <c r="O51" s="242">
        <f t="shared" si="6"/>
        <v>9</v>
      </c>
      <c r="P51" s="78">
        <f t="shared" si="7"/>
        <v>0</v>
      </c>
      <c r="Q51" s="273">
        <f t="shared" si="2"/>
        <v>9</v>
      </c>
      <c r="R51" s="270">
        <v>360000</v>
      </c>
      <c r="S51" s="54">
        <f t="shared" si="3"/>
        <v>3240000</v>
      </c>
      <c r="T51" s="253"/>
    </row>
    <row r="52" spans="1:21" s="31" customFormat="1" x14ac:dyDescent="0.3">
      <c r="A52" s="61">
        <f t="shared" si="5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211"/>
      <c r="O52" s="242">
        <f t="shared" si="6"/>
        <v>0</v>
      </c>
      <c r="P52" s="78">
        <f t="shared" si="7"/>
        <v>0</v>
      </c>
      <c r="Q52" s="273">
        <f t="shared" si="2"/>
        <v>0</v>
      </c>
      <c r="R52" s="270">
        <v>360000</v>
      </c>
      <c r="S52" s="54">
        <f t="shared" si="3"/>
        <v>0</v>
      </c>
      <c r="T52" s="253"/>
    </row>
    <row r="53" spans="1:21" s="31" customFormat="1" x14ac:dyDescent="0.3">
      <c r="A53" s="61">
        <f t="shared" si="5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211"/>
      <c r="O53" s="242">
        <f t="shared" si="6"/>
        <v>0</v>
      </c>
      <c r="P53" s="78">
        <f t="shared" si="7"/>
        <v>0</v>
      </c>
      <c r="Q53" s="273">
        <f t="shared" si="2"/>
        <v>0</v>
      </c>
      <c r="R53" s="270">
        <v>270000</v>
      </c>
      <c r="S53" s="54">
        <f t="shared" si="3"/>
        <v>0</v>
      </c>
      <c r="T53" s="253"/>
    </row>
    <row r="54" spans="1:21" s="31" customFormat="1" x14ac:dyDescent="0.3">
      <c r="A54" s="61">
        <f t="shared" si="5"/>
        <v>51</v>
      </c>
      <c r="B54" s="116" t="s">
        <v>288</v>
      </c>
      <c r="C54" s="116"/>
      <c r="D54" s="205" t="s">
        <v>5</v>
      </c>
      <c r="E54" s="127" t="s">
        <v>9</v>
      </c>
      <c r="F54" s="32"/>
      <c r="G54" s="32"/>
      <c r="H54" s="36" t="s">
        <v>9</v>
      </c>
      <c r="I54" s="32" t="s">
        <v>9</v>
      </c>
      <c r="J54" s="32" t="s">
        <v>9</v>
      </c>
      <c r="K54" s="211" t="s">
        <v>9</v>
      </c>
      <c r="L54" s="211" t="s">
        <v>9</v>
      </c>
      <c r="M54" s="211" t="s">
        <v>8</v>
      </c>
      <c r="N54" s="211"/>
      <c r="O54" s="242">
        <f t="shared" si="6"/>
        <v>6</v>
      </c>
      <c r="P54" s="78">
        <f t="shared" si="7"/>
        <v>0.5</v>
      </c>
      <c r="Q54" s="273">
        <f t="shared" si="2"/>
        <v>6.5</v>
      </c>
      <c r="R54" s="270">
        <v>270000</v>
      </c>
      <c r="S54" s="54">
        <f t="shared" si="3"/>
        <v>1755000</v>
      </c>
      <c r="T54" s="253"/>
    </row>
    <row r="55" spans="1:21" s="31" customFormat="1" x14ac:dyDescent="0.3">
      <c r="A55" s="61">
        <f t="shared" si="5"/>
        <v>52</v>
      </c>
      <c r="B55" s="116" t="s">
        <v>291</v>
      </c>
      <c r="C55" s="116"/>
      <c r="D55" s="205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211"/>
      <c r="O55" s="242">
        <f t="shared" si="6"/>
        <v>0</v>
      </c>
      <c r="P55" s="78">
        <f t="shared" si="7"/>
        <v>0</v>
      </c>
      <c r="Q55" s="273">
        <f t="shared" si="2"/>
        <v>0</v>
      </c>
      <c r="R55" s="270">
        <v>270000</v>
      </c>
      <c r="S55" s="54">
        <f>Q55*R55</f>
        <v>0</v>
      </c>
      <c r="T55" s="253"/>
    </row>
    <row r="56" spans="1:21" s="289" customFormat="1" ht="19.2" customHeight="1" x14ac:dyDescent="0.3">
      <c r="A56" s="276">
        <f t="shared" si="5"/>
        <v>53</v>
      </c>
      <c r="B56" s="277" t="s">
        <v>295</v>
      </c>
      <c r="C56" s="277"/>
      <c r="D56" s="278" t="s">
        <v>5</v>
      </c>
      <c r="E56" s="279" t="s">
        <v>9</v>
      </c>
      <c r="F56" s="280" t="s">
        <v>8</v>
      </c>
      <c r="G56" s="280" t="s">
        <v>9</v>
      </c>
      <c r="H56" s="281" t="s">
        <v>9</v>
      </c>
      <c r="I56" s="280" t="s">
        <v>9</v>
      </c>
      <c r="J56" s="280" t="s">
        <v>9</v>
      </c>
      <c r="K56" s="282"/>
      <c r="L56" s="282" t="s">
        <v>9</v>
      </c>
      <c r="M56" s="282"/>
      <c r="N56" s="282" t="s">
        <v>9</v>
      </c>
      <c r="O56" s="283">
        <f t="shared" si="6"/>
        <v>7</v>
      </c>
      <c r="P56" s="284">
        <f t="shared" si="7"/>
        <v>0.5</v>
      </c>
      <c r="Q56" s="285">
        <f t="shared" si="2"/>
        <v>7.5</v>
      </c>
      <c r="R56" s="286">
        <v>280000</v>
      </c>
      <c r="S56" s="287">
        <f>Q56*R56+60000</f>
        <v>2160000</v>
      </c>
      <c r="T56" s="288"/>
      <c r="U56" s="292" t="s">
        <v>384</v>
      </c>
    </row>
    <row r="57" spans="1:21" s="31" customFormat="1" x14ac:dyDescent="0.3">
      <c r="A57" s="61">
        <f t="shared" si="5"/>
        <v>54</v>
      </c>
      <c r="B57" s="116" t="s">
        <v>296</v>
      </c>
      <c r="C57" s="116"/>
      <c r="D57" s="205" t="s">
        <v>5</v>
      </c>
      <c r="E57" s="127" t="s">
        <v>9</v>
      </c>
      <c r="F57" s="32"/>
      <c r="G57" s="32" t="s">
        <v>9</v>
      </c>
      <c r="H57" s="36" t="s">
        <v>9</v>
      </c>
      <c r="I57" s="32" t="s">
        <v>9</v>
      </c>
      <c r="J57" s="32" t="s">
        <v>9</v>
      </c>
      <c r="K57" s="211"/>
      <c r="L57" s="211"/>
      <c r="M57" s="211"/>
      <c r="N57" s="211"/>
      <c r="O57" s="242">
        <f t="shared" si="6"/>
        <v>5</v>
      </c>
      <c r="P57" s="78">
        <f t="shared" si="7"/>
        <v>0</v>
      </c>
      <c r="Q57" s="273">
        <f t="shared" si="2"/>
        <v>5</v>
      </c>
      <c r="R57" s="270">
        <v>270000</v>
      </c>
      <c r="S57" s="54">
        <f t="shared" si="3"/>
        <v>1350000</v>
      </c>
      <c r="T57" s="253"/>
    </row>
    <row r="58" spans="1:21" s="31" customFormat="1" x14ac:dyDescent="0.3">
      <c r="A58" s="61">
        <f t="shared" si="5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211"/>
      <c r="O58" s="242">
        <f t="shared" si="6"/>
        <v>0</v>
      </c>
      <c r="P58" s="78">
        <f t="shared" si="7"/>
        <v>0</v>
      </c>
      <c r="Q58" s="273">
        <f t="shared" si="2"/>
        <v>0</v>
      </c>
      <c r="R58" s="270">
        <v>360000</v>
      </c>
      <c r="S58" s="54">
        <f t="shared" si="3"/>
        <v>0</v>
      </c>
      <c r="T58" s="253"/>
    </row>
    <row r="59" spans="1:21" s="31" customFormat="1" x14ac:dyDescent="0.3">
      <c r="A59" s="61">
        <f t="shared" si="5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211"/>
      <c r="O59" s="242">
        <f t="shared" si="6"/>
        <v>0</v>
      </c>
      <c r="P59" s="78">
        <f t="shared" si="7"/>
        <v>0</v>
      </c>
      <c r="Q59" s="273">
        <f t="shared" si="2"/>
        <v>0</v>
      </c>
      <c r="R59" s="270">
        <v>270000</v>
      </c>
      <c r="S59" s="54">
        <f t="shared" si="3"/>
        <v>0</v>
      </c>
      <c r="T59" s="253"/>
    </row>
    <row r="60" spans="1:21" s="31" customFormat="1" x14ac:dyDescent="0.3">
      <c r="A60" s="61">
        <f t="shared" si="5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211"/>
      <c r="O60" s="242">
        <f t="shared" si="6"/>
        <v>0</v>
      </c>
      <c r="P60" s="78">
        <f t="shared" si="7"/>
        <v>0</v>
      </c>
      <c r="Q60" s="273">
        <f t="shared" si="2"/>
        <v>0</v>
      </c>
      <c r="R60" s="270">
        <v>260000</v>
      </c>
      <c r="S60" s="54">
        <f t="shared" si="3"/>
        <v>0</v>
      </c>
      <c r="T60" s="253"/>
    </row>
    <row r="61" spans="1:21" s="31" customFormat="1" x14ac:dyDescent="0.3">
      <c r="A61" s="61">
        <f t="shared" si="5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211"/>
      <c r="O61" s="230">
        <f t="shared" si="6"/>
        <v>0</v>
      </c>
      <c r="P61" s="163">
        <f t="shared" si="7"/>
        <v>0</v>
      </c>
      <c r="Q61" s="273">
        <f t="shared" si="2"/>
        <v>0</v>
      </c>
      <c r="R61" s="270">
        <v>360000</v>
      </c>
      <c r="S61" s="54">
        <f t="shared" si="3"/>
        <v>0</v>
      </c>
      <c r="T61" s="253"/>
    </row>
    <row r="62" spans="1:21" s="31" customFormat="1" x14ac:dyDescent="0.3">
      <c r="A62" s="61">
        <f t="shared" si="5"/>
        <v>59</v>
      </c>
      <c r="B62" s="116" t="s">
        <v>362</v>
      </c>
      <c r="C62" s="116"/>
      <c r="D62" s="205" t="s">
        <v>5</v>
      </c>
      <c r="E62" s="127" t="s">
        <v>9</v>
      </c>
      <c r="F62" s="32"/>
      <c r="G62" s="32" t="s">
        <v>9</v>
      </c>
      <c r="H62" s="36" t="s">
        <v>9</v>
      </c>
      <c r="I62" s="32"/>
      <c r="J62" s="32"/>
      <c r="K62" s="211"/>
      <c r="L62" s="211" t="s">
        <v>9</v>
      </c>
      <c r="M62" s="211" t="s">
        <v>9</v>
      </c>
      <c r="N62" s="211" t="s">
        <v>9</v>
      </c>
      <c r="O62" s="230">
        <f t="shared" si="6"/>
        <v>6</v>
      </c>
      <c r="P62" s="163">
        <f t="shared" si="7"/>
        <v>0</v>
      </c>
      <c r="Q62" s="273">
        <f t="shared" si="2"/>
        <v>6</v>
      </c>
      <c r="R62" s="270">
        <v>260000</v>
      </c>
      <c r="S62" s="54">
        <f t="shared" si="3"/>
        <v>1560000</v>
      </c>
      <c r="T62" s="253"/>
    </row>
    <row r="63" spans="1:21" s="31" customFormat="1" x14ac:dyDescent="0.3">
      <c r="A63" s="61">
        <f t="shared" si="5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211"/>
      <c r="O63" s="230">
        <f t="shared" si="6"/>
        <v>0</v>
      </c>
      <c r="P63" s="163">
        <f t="shared" si="7"/>
        <v>0</v>
      </c>
      <c r="Q63" s="273">
        <f t="shared" si="2"/>
        <v>0</v>
      </c>
      <c r="R63" s="270">
        <v>260000</v>
      </c>
      <c r="S63" s="54">
        <f t="shared" si="3"/>
        <v>0</v>
      </c>
      <c r="T63" s="253"/>
    </row>
    <row r="64" spans="1:21" s="31" customFormat="1" x14ac:dyDescent="0.3">
      <c r="A64" s="61">
        <f t="shared" si="5"/>
        <v>61</v>
      </c>
      <c r="B64" s="116" t="s">
        <v>364</v>
      </c>
      <c r="C64" s="116"/>
      <c r="D64" s="205" t="s">
        <v>4</v>
      </c>
      <c r="E64" s="127"/>
      <c r="F64" s="32"/>
      <c r="G64" s="32" t="s">
        <v>9</v>
      </c>
      <c r="H64" s="36" t="s">
        <v>9</v>
      </c>
      <c r="I64" s="32" t="s">
        <v>9</v>
      </c>
      <c r="J64" s="32" t="s">
        <v>9</v>
      </c>
      <c r="K64" s="211" t="s">
        <v>9</v>
      </c>
      <c r="L64" s="211" t="s">
        <v>9</v>
      </c>
      <c r="M64" s="211" t="s">
        <v>9</v>
      </c>
      <c r="N64" s="211" t="s">
        <v>9</v>
      </c>
      <c r="O64" s="230">
        <f t="shared" si="6"/>
        <v>8</v>
      </c>
      <c r="P64" s="163">
        <f t="shared" si="7"/>
        <v>0</v>
      </c>
      <c r="Q64" s="273">
        <f t="shared" si="2"/>
        <v>8</v>
      </c>
      <c r="R64" s="270">
        <v>360000</v>
      </c>
      <c r="S64" s="54">
        <f t="shared" si="3"/>
        <v>2880000</v>
      </c>
      <c r="T64" s="253"/>
    </row>
    <row r="65" spans="1:21" s="31" customFormat="1" x14ac:dyDescent="0.3">
      <c r="A65" s="61">
        <f t="shared" si="5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211"/>
      <c r="O65" s="230">
        <f t="shared" si="6"/>
        <v>0</v>
      </c>
      <c r="P65" s="163">
        <f t="shared" si="7"/>
        <v>0</v>
      </c>
      <c r="Q65" s="273">
        <f t="shared" si="2"/>
        <v>0</v>
      </c>
      <c r="R65" s="270">
        <v>260000</v>
      </c>
      <c r="S65" s="54">
        <f t="shared" si="3"/>
        <v>0</v>
      </c>
      <c r="T65" s="253"/>
    </row>
    <row r="66" spans="1:21" s="31" customFormat="1" x14ac:dyDescent="0.3">
      <c r="A66" s="61">
        <f t="shared" si="5"/>
        <v>63</v>
      </c>
      <c r="B66" s="116" t="s">
        <v>366</v>
      </c>
      <c r="C66" s="116"/>
      <c r="D66" s="205" t="s">
        <v>4</v>
      </c>
      <c r="E66" s="127"/>
      <c r="F66" s="32"/>
      <c r="G66" s="32" t="s">
        <v>9</v>
      </c>
      <c r="H66" s="36" t="s">
        <v>9</v>
      </c>
      <c r="I66" s="32" t="s">
        <v>9</v>
      </c>
      <c r="J66" s="32" t="s">
        <v>9</v>
      </c>
      <c r="K66" s="211" t="s">
        <v>9</v>
      </c>
      <c r="L66" s="211" t="s">
        <v>9</v>
      </c>
      <c r="M66" s="211"/>
      <c r="N66" s="211" t="s">
        <v>9</v>
      </c>
      <c r="O66" s="230">
        <f t="shared" si="6"/>
        <v>7</v>
      </c>
      <c r="P66" s="163">
        <f t="shared" si="7"/>
        <v>0</v>
      </c>
      <c r="Q66" s="273">
        <f t="shared" ref="Q66:Q69" si="8">SUM(O66:P66)</f>
        <v>7</v>
      </c>
      <c r="R66" s="270">
        <v>360000</v>
      </c>
      <c r="S66" s="54">
        <f t="shared" si="3"/>
        <v>2520000</v>
      </c>
      <c r="T66" s="253"/>
    </row>
    <row r="67" spans="1:21" s="31" customFormat="1" x14ac:dyDescent="0.3">
      <c r="A67" s="61">
        <f t="shared" si="5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211"/>
      <c r="O67" s="230">
        <f t="shared" si="6"/>
        <v>0</v>
      </c>
      <c r="P67" s="163">
        <f t="shared" si="7"/>
        <v>0</v>
      </c>
      <c r="Q67" s="273">
        <f t="shared" si="8"/>
        <v>0</v>
      </c>
      <c r="R67" s="270">
        <v>260000</v>
      </c>
      <c r="S67" s="54">
        <f t="shared" si="3"/>
        <v>0</v>
      </c>
      <c r="T67" s="253"/>
    </row>
    <row r="68" spans="1:21" s="31" customFormat="1" x14ac:dyDescent="0.3">
      <c r="A68" s="61">
        <f t="shared" si="5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211"/>
      <c r="O68" s="230">
        <f t="shared" ref="O68:O75" si="9">COUNTIF(E68:N68,"X")</f>
        <v>0</v>
      </c>
      <c r="P68" s="163">
        <f t="shared" si="7"/>
        <v>0</v>
      </c>
      <c r="Q68" s="273">
        <f t="shared" si="8"/>
        <v>0</v>
      </c>
      <c r="R68" s="270">
        <v>260000</v>
      </c>
      <c r="S68" s="54">
        <f t="shared" ref="S68:S75" si="10">Q68*R68</f>
        <v>0</v>
      </c>
      <c r="T68" s="253"/>
    </row>
    <row r="69" spans="1:21" s="31" customFormat="1" x14ac:dyDescent="0.3">
      <c r="A69" s="61">
        <f t="shared" si="5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211"/>
      <c r="O69" s="230">
        <f t="shared" si="9"/>
        <v>0</v>
      </c>
      <c r="P69" s="163">
        <f t="shared" ref="P69:P75" si="11">COUNTIF(E69:N69,"X/2")/2</f>
        <v>0</v>
      </c>
      <c r="Q69" s="273">
        <f t="shared" si="8"/>
        <v>0</v>
      </c>
      <c r="R69" s="270">
        <v>270000</v>
      </c>
      <c r="S69" s="54">
        <f t="shared" si="10"/>
        <v>0</v>
      </c>
      <c r="T69" s="253"/>
    </row>
    <row r="70" spans="1:21" s="31" customFormat="1" x14ac:dyDescent="0.3">
      <c r="A70" s="61">
        <f t="shared" si="5"/>
        <v>67</v>
      </c>
      <c r="B70" s="116" t="s">
        <v>371</v>
      </c>
      <c r="C70" s="116"/>
      <c r="D70" s="205" t="s">
        <v>4</v>
      </c>
      <c r="E70" s="127"/>
      <c r="F70" s="32"/>
      <c r="G70" s="32" t="s">
        <v>9</v>
      </c>
      <c r="H70" s="36" t="s">
        <v>9</v>
      </c>
      <c r="I70" s="32" t="s">
        <v>9</v>
      </c>
      <c r="J70" s="32" t="s">
        <v>9</v>
      </c>
      <c r="K70" s="211" t="s">
        <v>9</v>
      </c>
      <c r="L70" s="211" t="s">
        <v>9</v>
      </c>
      <c r="M70" s="211"/>
      <c r="N70" s="211" t="s">
        <v>9</v>
      </c>
      <c r="O70" s="230">
        <f t="shared" si="9"/>
        <v>7</v>
      </c>
      <c r="P70" s="163">
        <f t="shared" si="11"/>
        <v>0</v>
      </c>
      <c r="Q70" s="273">
        <f t="shared" ref="Q70:Q75" si="12">SUM(O70:P70)</f>
        <v>7</v>
      </c>
      <c r="R70" s="270">
        <v>360000</v>
      </c>
      <c r="S70" s="54">
        <f t="shared" si="10"/>
        <v>2520000</v>
      </c>
      <c r="T70" s="253"/>
    </row>
    <row r="71" spans="1:21" s="31" customFormat="1" x14ac:dyDescent="0.3">
      <c r="A71" s="61">
        <f t="shared" ref="A71:A75" si="13">A70+1</f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/>
      <c r="L71" s="211"/>
      <c r="M71" s="211"/>
      <c r="N71" s="211"/>
      <c r="O71" s="230">
        <f t="shared" si="9"/>
        <v>0</v>
      </c>
      <c r="P71" s="163">
        <f t="shared" si="11"/>
        <v>0</v>
      </c>
      <c r="Q71" s="273">
        <f t="shared" si="12"/>
        <v>0</v>
      </c>
      <c r="R71" s="270">
        <v>360000</v>
      </c>
      <c r="S71" s="54">
        <f t="shared" si="10"/>
        <v>0</v>
      </c>
      <c r="T71" s="253"/>
    </row>
    <row r="72" spans="1:21" s="31" customFormat="1" x14ac:dyDescent="0.3">
      <c r="A72" s="61">
        <f t="shared" si="13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211"/>
      <c r="O72" s="230">
        <f t="shared" si="9"/>
        <v>0</v>
      </c>
      <c r="P72" s="163">
        <f t="shared" si="11"/>
        <v>0</v>
      </c>
      <c r="Q72" s="273">
        <f t="shared" si="12"/>
        <v>0</v>
      </c>
      <c r="R72" s="270">
        <v>260000</v>
      </c>
      <c r="S72" s="54">
        <f t="shared" si="10"/>
        <v>0</v>
      </c>
      <c r="T72" s="253"/>
    </row>
    <row r="73" spans="1:21" s="31" customFormat="1" x14ac:dyDescent="0.3">
      <c r="A73" s="61">
        <f t="shared" si="13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211"/>
      <c r="O73" s="230">
        <f t="shared" si="9"/>
        <v>0</v>
      </c>
      <c r="P73" s="163">
        <f t="shared" si="11"/>
        <v>0</v>
      </c>
      <c r="Q73" s="273">
        <f t="shared" si="12"/>
        <v>0</v>
      </c>
      <c r="R73" s="270">
        <v>360000</v>
      </c>
      <c r="S73" s="54">
        <f t="shared" si="10"/>
        <v>0</v>
      </c>
      <c r="T73" s="253"/>
    </row>
    <row r="74" spans="1:21" s="31" customFormat="1" x14ac:dyDescent="0.3">
      <c r="A74" s="61">
        <f t="shared" si="13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211"/>
      <c r="O74" s="230">
        <f t="shared" si="9"/>
        <v>0</v>
      </c>
      <c r="P74" s="163">
        <f t="shared" si="11"/>
        <v>0</v>
      </c>
      <c r="Q74" s="273">
        <f t="shared" si="12"/>
        <v>0</v>
      </c>
      <c r="R74" s="270">
        <v>260000</v>
      </c>
      <c r="S74" s="54">
        <f t="shared" si="10"/>
        <v>0</v>
      </c>
      <c r="T74" s="253"/>
    </row>
    <row r="75" spans="1:21" s="31" customFormat="1" x14ac:dyDescent="0.3">
      <c r="A75" s="61">
        <f t="shared" si="13"/>
        <v>72</v>
      </c>
      <c r="B75" s="159" t="s">
        <v>376</v>
      </c>
      <c r="C75" s="159"/>
      <c r="D75" s="206" t="s">
        <v>5</v>
      </c>
      <c r="E75" s="127" t="s">
        <v>9</v>
      </c>
      <c r="F75" s="32"/>
      <c r="G75" s="32" t="s">
        <v>9</v>
      </c>
      <c r="H75" s="36" t="s">
        <v>9</v>
      </c>
      <c r="I75" s="227"/>
      <c r="J75" s="227"/>
      <c r="K75" s="229"/>
      <c r="L75" s="229"/>
      <c r="M75" s="229"/>
      <c r="N75" s="229"/>
      <c r="O75" s="230">
        <f t="shared" si="9"/>
        <v>3</v>
      </c>
      <c r="P75" s="163">
        <f t="shared" si="11"/>
        <v>0</v>
      </c>
      <c r="Q75" s="273">
        <f t="shared" si="12"/>
        <v>3</v>
      </c>
      <c r="R75" s="270">
        <v>260000</v>
      </c>
      <c r="S75" s="54">
        <f t="shared" si="10"/>
        <v>780000</v>
      </c>
      <c r="T75" s="255"/>
    </row>
    <row r="76" spans="1:21" s="31" customFormat="1" x14ac:dyDescent="0.3">
      <c r="A76" s="231"/>
      <c r="B76" s="29"/>
      <c r="C76" s="29"/>
      <c r="D76" s="210"/>
      <c r="E76" s="234"/>
      <c r="F76" s="232"/>
      <c r="G76" s="232"/>
      <c r="H76" s="232"/>
      <c r="I76" s="232"/>
      <c r="J76" s="232"/>
      <c r="K76" s="232"/>
      <c r="L76" s="232"/>
      <c r="M76" s="232"/>
      <c r="N76" s="232"/>
      <c r="O76" s="242"/>
      <c r="P76" s="78"/>
      <c r="Q76" s="273"/>
      <c r="R76" s="269"/>
      <c r="S76" s="249"/>
      <c r="T76" s="256"/>
    </row>
    <row r="77" spans="1:21" s="31" customFormat="1" ht="16.2" thickBot="1" x14ac:dyDescent="0.35">
      <c r="A77" s="216"/>
      <c r="B77" s="217"/>
      <c r="C77" s="218"/>
      <c r="D77" s="219"/>
      <c r="E77" s="220"/>
      <c r="F77" s="221"/>
      <c r="G77" s="222"/>
      <c r="H77" s="221"/>
      <c r="I77" s="222"/>
      <c r="J77" s="222"/>
      <c r="K77" s="223"/>
      <c r="L77" s="223"/>
      <c r="M77" s="223"/>
      <c r="N77" s="223"/>
      <c r="O77" s="245"/>
      <c r="P77" s="267"/>
      <c r="Q77" s="274"/>
      <c r="R77" s="271"/>
      <c r="S77" s="225"/>
      <c r="T77" s="257"/>
    </row>
    <row r="78" spans="1:21" s="31" customFormat="1" ht="16.2" thickBot="1" x14ac:dyDescent="0.35">
      <c r="A78" s="83"/>
      <c r="B78" s="84"/>
      <c r="C78" s="89"/>
      <c r="D78" s="85"/>
      <c r="E78" s="81">
        <f>SUBTOTAL(103,E4:E75)</f>
        <v>31</v>
      </c>
      <c r="F78" s="43">
        <f t="shared" ref="F78:O78" si="14">SUBTOTAL(103,F4:F75)</f>
        <v>9</v>
      </c>
      <c r="G78" s="40">
        <f t="shared" si="14"/>
        <v>30</v>
      </c>
      <c r="H78" s="43">
        <f t="shared" si="14"/>
        <v>37</v>
      </c>
      <c r="I78" s="40">
        <f t="shared" si="14"/>
        <v>36</v>
      </c>
      <c r="J78" s="40">
        <f t="shared" si="14"/>
        <v>37</v>
      </c>
      <c r="K78" s="155"/>
      <c r="L78" s="155"/>
      <c r="M78" s="155"/>
      <c r="N78" s="155"/>
      <c r="O78" s="81">
        <f t="shared" si="14"/>
        <v>72</v>
      </c>
      <c r="P78" s="155">
        <f>SUBTOTAL(103,P4:P27)</f>
        <v>24</v>
      </c>
      <c r="Q78" s="275">
        <f>SUBTOTAL(103,Q4:Q27)</f>
        <v>24</v>
      </c>
      <c r="R78" s="43">
        <f>SUBTOTAL(103,R4:R75)</f>
        <v>72</v>
      </c>
      <c r="S78" s="247">
        <f>SUBTOTAL(109,S4:S75)</f>
        <v>102445000</v>
      </c>
      <c r="T78" s="247">
        <f>SUBTOTAL(109,T4:T75)</f>
        <v>8000000</v>
      </c>
      <c r="U78" s="208"/>
    </row>
    <row r="79" spans="1:21" x14ac:dyDescent="0.3">
      <c r="S79" s="76">
        <v>8685000</v>
      </c>
      <c r="T79" s="248">
        <f>S78-T78</f>
        <v>94445000</v>
      </c>
    </row>
    <row r="80" spans="1:21" x14ac:dyDescent="0.3">
      <c r="S80" s="76"/>
      <c r="T80" s="76">
        <f>T79-S79</f>
        <v>85760000</v>
      </c>
    </row>
    <row r="81" spans="19:19" x14ac:dyDescent="0.3">
      <c r="S81" s="76">
        <f>S78-S79-5000000</f>
        <v>88760000</v>
      </c>
    </row>
  </sheetData>
  <autoFilter ref="A3:U75"/>
  <mergeCells count="10">
    <mergeCell ref="Q2:Q3"/>
    <mergeCell ref="R2:R3"/>
    <mergeCell ref="S2:S3"/>
    <mergeCell ref="T2:T3"/>
    <mergeCell ref="A2:A3"/>
    <mergeCell ref="B2:B3"/>
    <mergeCell ref="C2:C3"/>
    <mergeCell ref="D2:D3"/>
    <mergeCell ref="O2:O3"/>
    <mergeCell ref="P2:P3"/>
  </mergeCells>
  <conditionalFormatting sqref="E78:N78">
    <cfRule type="expression" dxfId="8" priority="1">
      <formula>IF(E$3="cn",1,0)</formula>
    </cfRule>
  </conditionalFormatting>
  <pageMargins left="0.17" right="0.17" top="0.18" bottom="0.18" header="0.17" footer="0.17"/>
  <pageSetup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4"/>
  <sheetViews>
    <sheetView workbookViewId="0">
      <selection sqref="A1:XFD1048576"/>
    </sheetView>
  </sheetViews>
  <sheetFormatPr defaultRowHeight="15.6" x14ac:dyDescent="0.3"/>
  <cols>
    <col min="1" max="1" width="3.88671875" style="62" customWidth="1"/>
    <col min="2" max="2" width="20.33203125" style="1" customWidth="1"/>
    <col min="3" max="3" width="27.21875" style="1" hidden="1" customWidth="1"/>
    <col min="4" max="4" width="7.77734375" style="3" customWidth="1"/>
    <col min="5" max="7" width="3.77734375" style="129" customWidth="1"/>
    <col min="8" max="14" width="3.77734375" style="176" customWidth="1"/>
    <col min="15" max="15" width="6.21875" style="176" customWidth="1"/>
    <col min="16" max="16" width="6.6640625" style="176" customWidth="1"/>
    <col min="17" max="17" width="6.88671875" style="176" customWidth="1"/>
    <col min="18" max="18" width="10.88671875" style="1" customWidth="1"/>
    <col min="19" max="19" width="14" style="1" customWidth="1"/>
    <col min="20" max="20" width="13.5546875" style="1" customWidth="1"/>
    <col min="21" max="21" width="22" style="1" customWidth="1"/>
    <col min="22" max="16384" width="8.88671875" style="1"/>
  </cols>
  <sheetData>
    <row r="1" spans="1:21" ht="27.6" customHeight="1" thickBot="1" x14ac:dyDescent="0.35">
      <c r="A1" s="154" t="s">
        <v>385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73"/>
      <c r="R1" s="173"/>
      <c r="S1" s="173"/>
      <c r="T1" s="173"/>
    </row>
    <row r="2" spans="1:21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21</v>
      </c>
      <c r="F2" s="23">
        <f t="shared" ref="F2:N2" si="0">E2+1</f>
        <v>22</v>
      </c>
      <c r="G2" s="23">
        <f t="shared" si="0"/>
        <v>23</v>
      </c>
      <c r="H2" s="23">
        <f t="shared" si="0"/>
        <v>24</v>
      </c>
      <c r="I2" s="23">
        <f t="shared" si="0"/>
        <v>25</v>
      </c>
      <c r="J2" s="23">
        <f t="shared" si="0"/>
        <v>26</v>
      </c>
      <c r="K2" s="23">
        <f t="shared" si="0"/>
        <v>27</v>
      </c>
      <c r="L2" s="23">
        <f t="shared" si="0"/>
        <v>28</v>
      </c>
      <c r="M2" s="23">
        <f t="shared" si="0"/>
        <v>29</v>
      </c>
      <c r="N2" s="24">
        <f t="shared" si="0"/>
        <v>30</v>
      </c>
      <c r="O2" s="420" t="s">
        <v>6</v>
      </c>
      <c r="P2" s="422" t="s">
        <v>7</v>
      </c>
      <c r="Q2" s="436" t="s">
        <v>357</v>
      </c>
      <c r="R2" s="438" t="s">
        <v>30</v>
      </c>
      <c r="S2" s="428" t="s">
        <v>33</v>
      </c>
      <c r="T2" s="430" t="s">
        <v>127</v>
      </c>
    </row>
    <row r="3" spans="1:21" s="3" customFormat="1" ht="16.2" thickBot="1" x14ac:dyDescent="0.35">
      <c r="A3" s="415"/>
      <c r="B3" s="417"/>
      <c r="C3" s="417"/>
      <c r="D3" s="425"/>
      <c r="E3" s="125" t="s">
        <v>94</v>
      </c>
      <c r="F3" s="213" t="s">
        <v>97</v>
      </c>
      <c r="G3" s="213" t="s">
        <v>96</v>
      </c>
      <c r="H3" s="207" t="s">
        <v>98</v>
      </c>
      <c r="I3" s="213" t="s">
        <v>99</v>
      </c>
      <c r="J3" s="213" t="s">
        <v>93</v>
      </c>
      <c r="K3" s="213" t="s">
        <v>94</v>
      </c>
      <c r="L3" s="207" t="s">
        <v>95</v>
      </c>
      <c r="M3" s="213" t="s">
        <v>97</v>
      </c>
      <c r="N3" s="207" t="s">
        <v>96</v>
      </c>
      <c r="O3" s="421"/>
      <c r="P3" s="423"/>
      <c r="Q3" s="437"/>
      <c r="R3" s="439"/>
      <c r="S3" s="440"/>
      <c r="T3" s="441"/>
    </row>
    <row r="4" spans="1:21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263" t="s">
        <v>9</v>
      </c>
      <c r="F4" s="264" t="s">
        <v>9</v>
      </c>
      <c r="G4" s="264" t="s">
        <v>9</v>
      </c>
      <c r="H4" s="265" t="s">
        <v>9</v>
      </c>
      <c r="I4" s="264" t="s">
        <v>9</v>
      </c>
      <c r="J4" s="264" t="s">
        <v>9</v>
      </c>
      <c r="K4" s="266" t="s">
        <v>9</v>
      </c>
      <c r="L4" s="266" t="s">
        <v>9</v>
      </c>
      <c r="M4" s="266" t="s">
        <v>9</v>
      </c>
      <c r="N4" s="320"/>
      <c r="O4" s="122">
        <f t="shared" ref="O4:O35" si="1">COUNTIF(E4:N4,"X")</f>
        <v>9</v>
      </c>
      <c r="P4" s="123">
        <f>COUNTIF(E4:I4,"X/2")/2</f>
        <v>0</v>
      </c>
      <c r="Q4" s="272">
        <f t="shared" ref="Q4:Q67" si="2">SUM(O4:P4)</f>
        <v>9</v>
      </c>
      <c r="R4" s="268">
        <v>550000</v>
      </c>
      <c r="S4" s="88">
        <f t="shared" ref="S4:S67" si="3">Q4*R4</f>
        <v>4950000</v>
      </c>
      <c r="T4" s="258">
        <v>1800000</v>
      </c>
      <c r="U4" s="31"/>
    </row>
    <row r="5" spans="1:21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/>
      <c r="G5" s="21"/>
      <c r="H5" s="35"/>
      <c r="I5" s="21"/>
      <c r="J5" s="21"/>
      <c r="K5" s="210" t="s">
        <v>9</v>
      </c>
      <c r="L5" s="210" t="s">
        <v>9</v>
      </c>
      <c r="M5" s="210" t="s">
        <v>9</v>
      </c>
      <c r="N5" s="25"/>
      <c r="O5" s="51">
        <f t="shared" si="1"/>
        <v>3</v>
      </c>
      <c r="P5" s="78">
        <f t="shared" ref="P5:P36" si="4">COUNTIF(E5:N5,"X/2")/2</f>
        <v>0</v>
      </c>
      <c r="Q5" s="273">
        <f t="shared" si="2"/>
        <v>3</v>
      </c>
      <c r="R5" s="269">
        <v>380000</v>
      </c>
      <c r="S5" s="77">
        <f t="shared" si="3"/>
        <v>1140000</v>
      </c>
      <c r="T5" s="251"/>
    </row>
    <row r="6" spans="1:21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 t="s">
        <v>9</v>
      </c>
      <c r="F6" s="21" t="s">
        <v>9</v>
      </c>
      <c r="G6" s="21" t="s">
        <v>9</v>
      </c>
      <c r="H6" s="35" t="s">
        <v>9</v>
      </c>
      <c r="I6" s="21"/>
      <c r="J6" s="21"/>
      <c r="K6" s="210" t="s">
        <v>9</v>
      </c>
      <c r="L6" s="210" t="s">
        <v>9</v>
      </c>
      <c r="M6" s="210" t="s">
        <v>9</v>
      </c>
      <c r="N6" s="25"/>
      <c r="O6" s="51">
        <f t="shared" si="1"/>
        <v>7</v>
      </c>
      <c r="P6" s="78">
        <f t="shared" si="4"/>
        <v>0</v>
      </c>
      <c r="Q6" s="273">
        <f t="shared" si="2"/>
        <v>7</v>
      </c>
      <c r="R6" s="269">
        <v>370000</v>
      </c>
      <c r="S6" s="77">
        <f t="shared" si="3"/>
        <v>2590000</v>
      </c>
      <c r="T6" s="251"/>
    </row>
    <row r="7" spans="1:21" s="31" customFormat="1" x14ac:dyDescent="0.3">
      <c r="A7" s="61">
        <f t="shared" ref="A7:A70" si="5">A6+1</f>
        <v>4</v>
      </c>
      <c r="B7" s="28" t="s">
        <v>37</v>
      </c>
      <c r="C7" s="48" t="s">
        <v>60</v>
      </c>
      <c r="D7" s="202" t="s">
        <v>4</v>
      </c>
      <c r="E7" s="41"/>
      <c r="F7" s="21" t="s">
        <v>9</v>
      </c>
      <c r="G7" s="21" t="s">
        <v>9</v>
      </c>
      <c r="H7" s="35" t="s">
        <v>9</v>
      </c>
      <c r="I7" s="21"/>
      <c r="J7" s="21"/>
      <c r="K7" s="210" t="s">
        <v>9</v>
      </c>
      <c r="L7" s="210" t="s">
        <v>9</v>
      </c>
      <c r="M7" s="210" t="s">
        <v>9</v>
      </c>
      <c r="N7" s="25"/>
      <c r="O7" s="51">
        <f t="shared" si="1"/>
        <v>6</v>
      </c>
      <c r="P7" s="78">
        <f t="shared" si="4"/>
        <v>0</v>
      </c>
      <c r="Q7" s="273">
        <f t="shared" si="2"/>
        <v>6</v>
      </c>
      <c r="R7" s="269">
        <v>370000</v>
      </c>
      <c r="S7" s="77">
        <f t="shared" si="3"/>
        <v>2220000</v>
      </c>
      <c r="T7" s="250">
        <v>500000</v>
      </c>
    </row>
    <row r="8" spans="1:21" s="31" customFormat="1" x14ac:dyDescent="0.3">
      <c r="A8" s="61">
        <f t="shared" si="5"/>
        <v>5</v>
      </c>
      <c r="B8" s="28" t="s">
        <v>38</v>
      </c>
      <c r="C8" s="48" t="s">
        <v>80</v>
      </c>
      <c r="D8" s="202" t="s">
        <v>17</v>
      </c>
      <c r="E8" s="41"/>
      <c r="F8" s="21" t="s">
        <v>9</v>
      </c>
      <c r="G8" s="21" t="s">
        <v>9</v>
      </c>
      <c r="H8" s="35" t="s">
        <v>9</v>
      </c>
      <c r="I8" s="21" t="s">
        <v>9</v>
      </c>
      <c r="J8" s="21" t="s">
        <v>9</v>
      </c>
      <c r="K8" s="210" t="s">
        <v>9</v>
      </c>
      <c r="L8" s="210" t="s">
        <v>9</v>
      </c>
      <c r="M8" s="210"/>
      <c r="N8" s="25"/>
      <c r="O8" s="51">
        <f t="shared" si="1"/>
        <v>7</v>
      </c>
      <c r="P8" s="78">
        <f t="shared" si="4"/>
        <v>0</v>
      </c>
      <c r="Q8" s="273">
        <f t="shared" si="2"/>
        <v>7</v>
      </c>
      <c r="R8" s="269">
        <v>350000</v>
      </c>
      <c r="S8" s="77">
        <f t="shared" si="3"/>
        <v>2450000</v>
      </c>
      <c r="T8" s="251"/>
    </row>
    <row r="9" spans="1:21" s="289" customFormat="1" x14ac:dyDescent="0.3">
      <c r="A9" s="276">
        <f t="shared" si="5"/>
        <v>6</v>
      </c>
      <c r="B9" s="296" t="s">
        <v>145</v>
      </c>
      <c r="C9" s="115" t="s">
        <v>60</v>
      </c>
      <c r="D9" s="297" t="s">
        <v>5</v>
      </c>
      <c r="E9" s="298" t="s">
        <v>9</v>
      </c>
      <c r="F9" s="146" t="s">
        <v>9</v>
      </c>
      <c r="G9" s="146" t="s">
        <v>9</v>
      </c>
      <c r="H9" s="299" t="s">
        <v>9</v>
      </c>
      <c r="I9" s="146" t="s">
        <v>9</v>
      </c>
      <c r="J9" s="146" t="s">
        <v>9</v>
      </c>
      <c r="K9" s="300" t="s">
        <v>9</v>
      </c>
      <c r="L9" s="300" t="s">
        <v>9</v>
      </c>
      <c r="M9" s="300" t="s">
        <v>9</v>
      </c>
      <c r="N9" s="321" t="s">
        <v>9</v>
      </c>
      <c r="O9" s="318">
        <f t="shared" si="1"/>
        <v>10</v>
      </c>
      <c r="P9" s="284">
        <f t="shared" si="4"/>
        <v>0</v>
      </c>
      <c r="Q9" s="285">
        <f t="shared" si="2"/>
        <v>10</v>
      </c>
      <c r="R9" s="301">
        <v>350000</v>
      </c>
      <c r="S9" s="302">
        <f t="shared" si="3"/>
        <v>3500000</v>
      </c>
      <c r="T9" s="303"/>
    </row>
    <row r="10" spans="1:21" s="31" customFormat="1" x14ac:dyDescent="0.3">
      <c r="A10" s="61">
        <f t="shared" si="5"/>
        <v>7</v>
      </c>
      <c r="B10" s="28" t="s">
        <v>34</v>
      </c>
      <c r="C10" s="48" t="s">
        <v>80</v>
      </c>
      <c r="D10" s="202" t="s">
        <v>5</v>
      </c>
      <c r="E10" s="41" t="s">
        <v>9</v>
      </c>
      <c r="F10" s="21" t="s">
        <v>9</v>
      </c>
      <c r="G10" s="21" t="s">
        <v>9</v>
      </c>
      <c r="H10" s="35" t="s">
        <v>9</v>
      </c>
      <c r="I10" s="21" t="s">
        <v>9</v>
      </c>
      <c r="J10" s="21" t="s">
        <v>9</v>
      </c>
      <c r="K10" s="210" t="s">
        <v>9</v>
      </c>
      <c r="L10" s="210" t="s">
        <v>9</v>
      </c>
      <c r="M10" s="210" t="s">
        <v>9</v>
      </c>
      <c r="N10" s="25"/>
      <c r="O10" s="51">
        <f t="shared" si="1"/>
        <v>9</v>
      </c>
      <c r="P10" s="78">
        <f t="shared" si="4"/>
        <v>0</v>
      </c>
      <c r="Q10" s="273">
        <f t="shared" si="2"/>
        <v>9</v>
      </c>
      <c r="R10" s="269">
        <v>300000</v>
      </c>
      <c r="S10" s="77">
        <f t="shared" si="3"/>
        <v>2700000</v>
      </c>
      <c r="T10" s="252"/>
    </row>
    <row r="11" spans="1:21" s="31" customFormat="1" x14ac:dyDescent="0.3">
      <c r="A11" s="61">
        <f t="shared" si="5"/>
        <v>8</v>
      </c>
      <c r="B11" s="28" t="s">
        <v>46</v>
      </c>
      <c r="C11" s="48" t="s">
        <v>60</v>
      </c>
      <c r="D11" s="202" t="s">
        <v>5</v>
      </c>
      <c r="E11" s="41" t="s">
        <v>9</v>
      </c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10" t="s">
        <v>9</v>
      </c>
      <c r="N11" s="25"/>
      <c r="O11" s="51">
        <f t="shared" si="1"/>
        <v>9</v>
      </c>
      <c r="P11" s="78">
        <f t="shared" si="4"/>
        <v>0</v>
      </c>
      <c r="Q11" s="273">
        <f t="shared" si="2"/>
        <v>9</v>
      </c>
      <c r="R11" s="269">
        <v>360000</v>
      </c>
      <c r="S11" s="77">
        <f t="shared" si="3"/>
        <v>3240000</v>
      </c>
      <c r="T11" s="251"/>
    </row>
    <row r="12" spans="1:21" s="31" customFormat="1" x14ac:dyDescent="0.3">
      <c r="A12" s="61">
        <f t="shared" si="5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5"/>
      <c r="O12" s="51">
        <f t="shared" si="1"/>
        <v>0</v>
      </c>
      <c r="P12" s="78">
        <f t="shared" si="4"/>
        <v>0</v>
      </c>
      <c r="Q12" s="273">
        <f t="shared" si="2"/>
        <v>0</v>
      </c>
      <c r="R12" s="269">
        <v>400000</v>
      </c>
      <c r="S12" s="77">
        <f t="shared" si="3"/>
        <v>0</v>
      </c>
      <c r="T12" s="251"/>
    </row>
    <row r="13" spans="1:21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5"/>
      <c r="O13" s="51">
        <f t="shared" si="1"/>
        <v>0</v>
      </c>
      <c r="P13" s="78">
        <f t="shared" si="4"/>
        <v>0</v>
      </c>
      <c r="Q13" s="273">
        <f t="shared" si="2"/>
        <v>0</v>
      </c>
      <c r="R13" s="269">
        <v>280000</v>
      </c>
      <c r="S13" s="77">
        <f t="shared" si="3"/>
        <v>0</v>
      </c>
      <c r="T13" s="251"/>
    </row>
    <row r="14" spans="1:21" s="31" customFormat="1" x14ac:dyDescent="0.3">
      <c r="A14" s="61">
        <f t="shared" si="5"/>
        <v>11</v>
      </c>
      <c r="B14" s="28" t="s">
        <v>41</v>
      </c>
      <c r="C14" s="48" t="s">
        <v>80</v>
      </c>
      <c r="D14" s="202" t="s">
        <v>4</v>
      </c>
      <c r="E14" s="41" t="s">
        <v>9</v>
      </c>
      <c r="F14" s="21" t="s">
        <v>9</v>
      </c>
      <c r="G14" s="21" t="s">
        <v>9</v>
      </c>
      <c r="H14" s="35" t="s">
        <v>9</v>
      </c>
      <c r="I14" s="21" t="s">
        <v>9</v>
      </c>
      <c r="J14" s="21" t="s">
        <v>9</v>
      </c>
      <c r="K14" s="210" t="s">
        <v>9</v>
      </c>
      <c r="L14" s="210" t="s">
        <v>9</v>
      </c>
      <c r="M14" s="210" t="s">
        <v>9</v>
      </c>
      <c r="N14" s="25"/>
      <c r="O14" s="51">
        <f t="shared" si="1"/>
        <v>9</v>
      </c>
      <c r="P14" s="78">
        <f t="shared" si="4"/>
        <v>0</v>
      </c>
      <c r="Q14" s="273">
        <f t="shared" si="2"/>
        <v>9</v>
      </c>
      <c r="R14" s="269">
        <v>400000</v>
      </c>
      <c r="S14" s="77">
        <f t="shared" si="3"/>
        <v>3600000</v>
      </c>
      <c r="T14" s="251"/>
    </row>
    <row r="15" spans="1:21" s="31" customFormat="1" x14ac:dyDescent="0.3">
      <c r="A15" s="61">
        <f t="shared" si="5"/>
        <v>12</v>
      </c>
      <c r="B15" s="28" t="s">
        <v>47</v>
      </c>
      <c r="C15" s="48"/>
      <c r="D15" s="202" t="s">
        <v>4</v>
      </c>
      <c r="E15" s="41" t="s">
        <v>9</v>
      </c>
      <c r="F15" s="21" t="s">
        <v>9</v>
      </c>
      <c r="G15" s="21" t="s">
        <v>9</v>
      </c>
      <c r="H15" s="35" t="s">
        <v>9</v>
      </c>
      <c r="I15" s="21" t="s">
        <v>9</v>
      </c>
      <c r="J15" s="21" t="s">
        <v>9</v>
      </c>
      <c r="K15" s="210" t="s">
        <v>9</v>
      </c>
      <c r="L15" s="210" t="s">
        <v>9</v>
      </c>
      <c r="M15" s="210"/>
      <c r="N15" s="25"/>
      <c r="O15" s="51">
        <f t="shared" si="1"/>
        <v>8</v>
      </c>
      <c r="P15" s="78">
        <f t="shared" si="4"/>
        <v>0</v>
      </c>
      <c r="Q15" s="273">
        <f t="shared" si="2"/>
        <v>8</v>
      </c>
      <c r="R15" s="269">
        <v>390000</v>
      </c>
      <c r="S15" s="77">
        <f t="shared" si="3"/>
        <v>3120000</v>
      </c>
      <c r="T15" s="251"/>
    </row>
    <row r="16" spans="1:21" s="31" customFormat="1" x14ac:dyDescent="0.3">
      <c r="A16" s="61">
        <f t="shared" si="5"/>
        <v>13</v>
      </c>
      <c r="B16" s="28" t="s">
        <v>61</v>
      </c>
      <c r="C16" s="48" t="s">
        <v>60</v>
      </c>
      <c r="D16" s="203" t="s">
        <v>4</v>
      </c>
      <c r="E16" s="41" t="s">
        <v>9</v>
      </c>
      <c r="F16" s="21" t="s">
        <v>9</v>
      </c>
      <c r="G16" s="21" t="s">
        <v>9</v>
      </c>
      <c r="H16" s="35" t="s">
        <v>9</v>
      </c>
      <c r="I16" s="21" t="s">
        <v>9</v>
      </c>
      <c r="J16" s="21"/>
      <c r="K16" s="210" t="s">
        <v>9</v>
      </c>
      <c r="L16" s="210" t="s">
        <v>9</v>
      </c>
      <c r="M16" s="210"/>
      <c r="N16" s="25"/>
      <c r="O16" s="51">
        <f t="shared" si="1"/>
        <v>7</v>
      </c>
      <c r="P16" s="78">
        <f t="shared" si="4"/>
        <v>0</v>
      </c>
      <c r="Q16" s="273">
        <f t="shared" si="2"/>
        <v>7</v>
      </c>
      <c r="R16" s="270">
        <v>370000</v>
      </c>
      <c r="S16" s="77">
        <f t="shared" si="3"/>
        <v>2590000</v>
      </c>
      <c r="T16" s="251"/>
    </row>
    <row r="17" spans="1:20" s="31" customFormat="1" x14ac:dyDescent="0.3">
      <c r="A17" s="61">
        <f t="shared" si="5"/>
        <v>14</v>
      </c>
      <c r="B17" s="28" t="s">
        <v>62</v>
      </c>
      <c r="C17" s="48"/>
      <c r="D17" s="203" t="s">
        <v>4</v>
      </c>
      <c r="E17" s="41"/>
      <c r="F17" s="21"/>
      <c r="G17" s="21"/>
      <c r="H17" s="35"/>
      <c r="I17" s="21"/>
      <c r="J17" s="21"/>
      <c r="K17" s="210"/>
      <c r="L17" s="210"/>
      <c r="M17" s="210"/>
      <c r="N17" s="25"/>
      <c r="O17" s="51">
        <f t="shared" si="1"/>
        <v>0</v>
      </c>
      <c r="P17" s="78">
        <f t="shared" si="4"/>
        <v>0</v>
      </c>
      <c r="Q17" s="273">
        <f t="shared" si="2"/>
        <v>0</v>
      </c>
      <c r="R17" s="270">
        <v>360000</v>
      </c>
      <c r="S17" s="77">
        <f t="shared" si="3"/>
        <v>0</v>
      </c>
      <c r="T17" s="251"/>
    </row>
    <row r="18" spans="1:20" s="31" customFormat="1" x14ac:dyDescent="0.3">
      <c r="A18" s="61">
        <f t="shared" si="5"/>
        <v>15</v>
      </c>
      <c r="B18" s="28" t="s">
        <v>63</v>
      </c>
      <c r="C18" s="48" t="s">
        <v>60</v>
      </c>
      <c r="D18" s="203" t="s">
        <v>4</v>
      </c>
      <c r="E18" s="41" t="s">
        <v>9</v>
      </c>
      <c r="F18" s="21" t="s">
        <v>9</v>
      </c>
      <c r="G18" s="21" t="s">
        <v>9</v>
      </c>
      <c r="H18" s="35" t="s">
        <v>9</v>
      </c>
      <c r="I18" s="21" t="s">
        <v>9</v>
      </c>
      <c r="J18" s="21"/>
      <c r="K18" s="210" t="s">
        <v>9</v>
      </c>
      <c r="L18" s="210" t="s">
        <v>9</v>
      </c>
      <c r="M18" s="210" t="s">
        <v>9</v>
      </c>
      <c r="N18" s="25"/>
      <c r="O18" s="51">
        <f t="shared" si="1"/>
        <v>8</v>
      </c>
      <c r="P18" s="78">
        <f t="shared" si="4"/>
        <v>0</v>
      </c>
      <c r="Q18" s="273">
        <f t="shared" si="2"/>
        <v>8</v>
      </c>
      <c r="R18" s="270">
        <v>380000</v>
      </c>
      <c r="S18" s="77">
        <f t="shared" si="3"/>
        <v>3040000</v>
      </c>
      <c r="T18" s="251"/>
    </row>
    <row r="19" spans="1:20" s="31" customFormat="1" x14ac:dyDescent="0.3">
      <c r="A19" s="61">
        <f t="shared" si="5"/>
        <v>16</v>
      </c>
      <c r="B19" s="28" t="s">
        <v>59</v>
      </c>
      <c r="C19" s="48" t="s">
        <v>60</v>
      </c>
      <c r="D19" s="203" t="s">
        <v>5</v>
      </c>
      <c r="E19" s="41"/>
      <c r="F19" s="21"/>
      <c r="G19" s="21"/>
      <c r="H19" s="35"/>
      <c r="I19" s="21"/>
      <c r="J19" s="21"/>
      <c r="K19" s="210"/>
      <c r="L19" s="210"/>
      <c r="M19" s="210"/>
      <c r="N19" s="25"/>
      <c r="O19" s="51">
        <f t="shared" si="1"/>
        <v>0</v>
      </c>
      <c r="P19" s="78">
        <f t="shared" si="4"/>
        <v>0</v>
      </c>
      <c r="Q19" s="273">
        <f t="shared" si="2"/>
        <v>0</v>
      </c>
      <c r="R19" s="270">
        <v>270000</v>
      </c>
      <c r="S19" s="77">
        <f t="shared" si="3"/>
        <v>0</v>
      </c>
      <c r="T19" s="251"/>
    </row>
    <row r="20" spans="1:20" s="31" customFormat="1" x14ac:dyDescent="0.3">
      <c r="A20" s="61">
        <f t="shared" si="5"/>
        <v>17</v>
      </c>
      <c r="B20" s="28" t="s">
        <v>64</v>
      </c>
      <c r="C20" s="48" t="s">
        <v>60</v>
      </c>
      <c r="D20" s="203" t="s">
        <v>4</v>
      </c>
      <c r="E20" s="41" t="s">
        <v>9</v>
      </c>
      <c r="F20" s="21" t="s">
        <v>9</v>
      </c>
      <c r="G20" s="21" t="s">
        <v>9</v>
      </c>
      <c r="H20" s="35" t="s">
        <v>9</v>
      </c>
      <c r="I20" s="21" t="s">
        <v>9</v>
      </c>
      <c r="J20" s="21"/>
      <c r="K20" s="210"/>
      <c r="L20" s="210" t="s">
        <v>9</v>
      </c>
      <c r="M20" s="210" t="s">
        <v>9</v>
      </c>
      <c r="N20" s="25"/>
      <c r="O20" s="51">
        <f t="shared" si="1"/>
        <v>7</v>
      </c>
      <c r="P20" s="78">
        <f t="shared" si="4"/>
        <v>0</v>
      </c>
      <c r="Q20" s="273">
        <f t="shared" si="2"/>
        <v>7</v>
      </c>
      <c r="R20" s="270">
        <v>380000</v>
      </c>
      <c r="S20" s="77">
        <f t="shared" si="3"/>
        <v>2660000</v>
      </c>
      <c r="T20" s="251"/>
    </row>
    <row r="21" spans="1:20" s="55" customFormat="1" x14ac:dyDescent="0.3">
      <c r="A21" s="61">
        <f t="shared" si="5"/>
        <v>18</v>
      </c>
      <c r="B21" s="158" t="s">
        <v>65</v>
      </c>
      <c r="C21" s="29" t="s">
        <v>60</v>
      </c>
      <c r="D21" s="203" t="s">
        <v>4</v>
      </c>
      <c r="E21" s="41" t="s">
        <v>9</v>
      </c>
      <c r="F21" s="21" t="s">
        <v>9</v>
      </c>
      <c r="G21" s="21" t="s">
        <v>9</v>
      </c>
      <c r="H21" s="35" t="s">
        <v>9</v>
      </c>
      <c r="I21" s="21" t="s">
        <v>9</v>
      </c>
      <c r="J21" s="21"/>
      <c r="K21" s="210" t="s">
        <v>9</v>
      </c>
      <c r="L21" s="210" t="s">
        <v>9</v>
      </c>
      <c r="M21" s="210"/>
      <c r="N21" s="25"/>
      <c r="O21" s="51">
        <f t="shared" si="1"/>
        <v>7</v>
      </c>
      <c r="P21" s="78">
        <f t="shared" si="4"/>
        <v>0</v>
      </c>
      <c r="Q21" s="273">
        <f t="shared" si="2"/>
        <v>7</v>
      </c>
      <c r="R21" s="270">
        <v>370000</v>
      </c>
      <c r="S21" s="77">
        <f t="shared" si="3"/>
        <v>2590000</v>
      </c>
      <c r="T21" s="252"/>
    </row>
    <row r="22" spans="1:20" s="31" customFormat="1" x14ac:dyDescent="0.3">
      <c r="A22" s="61">
        <f t="shared" si="5"/>
        <v>19</v>
      </c>
      <c r="B22" s="48" t="s">
        <v>126</v>
      </c>
      <c r="C22" s="48"/>
      <c r="D22" s="204" t="s">
        <v>5</v>
      </c>
      <c r="E22" s="41" t="s">
        <v>9</v>
      </c>
      <c r="F22" s="21" t="s">
        <v>9</v>
      </c>
      <c r="G22" s="21" t="s">
        <v>9</v>
      </c>
      <c r="H22" s="35" t="s">
        <v>9</v>
      </c>
      <c r="I22" s="21" t="s">
        <v>9</v>
      </c>
      <c r="J22" s="21" t="s">
        <v>9</v>
      </c>
      <c r="K22" s="210" t="s">
        <v>9</v>
      </c>
      <c r="L22" s="210" t="s">
        <v>9</v>
      </c>
      <c r="M22" s="210" t="s">
        <v>9</v>
      </c>
      <c r="N22" s="25"/>
      <c r="O22" s="51">
        <f t="shared" si="1"/>
        <v>9</v>
      </c>
      <c r="P22" s="78">
        <f t="shared" si="4"/>
        <v>0</v>
      </c>
      <c r="Q22" s="273">
        <f t="shared" si="2"/>
        <v>9</v>
      </c>
      <c r="R22" s="269">
        <v>280000</v>
      </c>
      <c r="S22" s="77">
        <f t="shared" si="3"/>
        <v>2520000</v>
      </c>
      <c r="T22" s="251"/>
    </row>
    <row r="23" spans="1:20" s="31" customFormat="1" x14ac:dyDescent="0.3">
      <c r="A23" s="61">
        <f t="shared" si="5"/>
        <v>20</v>
      </c>
      <c r="B23" s="116" t="s">
        <v>143</v>
      </c>
      <c r="C23" s="116"/>
      <c r="D23" s="205" t="s">
        <v>4</v>
      </c>
      <c r="E23" s="41" t="s">
        <v>9</v>
      </c>
      <c r="F23" s="21" t="s">
        <v>9</v>
      </c>
      <c r="G23" s="21" t="s">
        <v>9</v>
      </c>
      <c r="H23" s="35" t="s">
        <v>9</v>
      </c>
      <c r="I23" s="21" t="s">
        <v>9</v>
      </c>
      <c r="J23" s="21" t="s">
        <v>9</v>
      </c>
      <c r="K23" s="210" t="s">
        <v>9</v>
      </c>
      <c r="L23" s="210" t="s">
        <v>9</v>
      </c>
      <c r="M23" s="210" t="s">
        <v>9</v>
      </c>
      <c r="N23" s="25"/>
      <c r="O23" s="51">
        <f t="shared" si="1"/>
        <v>9</v>
      </c>
      <c r="P23" s="78">
        <f t="shared" si="4"/>
        <v>0</v>
      </c>
      <c r="Q23" s="273">
        <f t="shared" si="2"/>
        <v>9</v>
      </c>
      <c r="R23" s="270">
        <v>380000</v>
      </c>
      <c r="S23" s="77">
        <f t="shared" si="3"/>
        <v>3420000</v>
      </c>
      <c r="T23" s="253"/>
    </row>
    <row r="24" spans="1:20" s="31" customFormat="1" x14ac:dyDescent="0.3">
      <c r="A24" s="61">
        <f t="shared" si="5"/>
        <v>21</v>
      </c>
      <c r="B24" s="116" t="s">
        <v>144</v>
      </c>
      <c r="C24" s="116"/>
      <c r="D24" s="205" t="s">
        <v>4</v>
      </c>
      <c r="E24" s="41" t="s">
        <v>9</v>
      </c>
      <c r="F24" s="21" t="s">
        <v>9</v>
      </c>
      <c r="G24" s="21" t="s">
        <v>9</v>
      </c>
      <c r="H24" s="35" t="s">
        <v>9</v>
      </c>
      <c r="I24" s="21" t="s">
        <v>9</v>
      </c>
      <c r="J24" s="21" t="s">
        <v>9</v>
      </c>
      <c r="K24" s="210" t="s">
        <v>8</v>
      </c>
      <c r="L24" s="210" t="s">
        <v>9</v>
      </c>
      <c r="M24" s="210" t="s">
        <v>9</v>
      </c>
      <c r="N24" s="25"/>
      <c r="O24" s="51">
        <f t="shared" si="1"/>
        <v>8</v>
      </c>
      <c r="P24" s="78">
        <f t="shared" si="4"/>
        <v>0.5</v>
      </c>
      <c r="Q24" s="273">
        <f t="shared" si="2"/>
        <v>8.5</v>
      </c>
      <c r="R24" s="270">
        <v>280000</v>
      </c>
      <c r="S24" s="77">
        <f t="shared" si="3"/>
        <v>2380000</v>
      </c>
      <c r="T24" s="253"/>
    </row>
    <row r="25" spans="1:20" s="31" customFormat="1" x14ac:dyDescent="0.3">
      <c r="A25" s="61">
        <f t="shared" si="5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5"/>
      <c r="O25" s="51">
        <f t="shared" si="1"/>
        <v>0</v>
      </c>
      <c r="P25" s="78">
        <f t="shared" si="4"/>
        <v>0</v>
      </c>
      <c r="Q25" s="273">
        <f t="shared" si="2"/>
        <v>0</v>
      </c>
      <c r="R25" s="270">
        <v>270000</v>
      </c>
      <c r="S25" s="77">
        <f t="shared" si="3"/>
        <v>0</v>
      </c>
      <c r="T25" s="253"/>
    </row>
    <row r="26" spans="1:20" s="31" customFormat="1" x14ac:dyDescent="0.3">
      <c r="A26" s="61">
        <f t="shared" si="5"/>
        <v>23</v>
      </c>
      <c r="B26" s="116" t="s">
        <v>171</v>
      </c>
      <c r="C26" s="116"/>
      <c r="D26" s="205" t="s">
        <v>5</v>
      </c>
      <c r="E26" s="127" t="s">
        <v>9</v>
      </c>
      <c r="F26" s="21" t="s">
        <v>9</v>
      </c>
      <c r="G26" s="21"/>
      <c r="H26" s="35"/>
      <c r="I26" s="21" t="s">
        <v>9</v>
      </c>
      <c r="J26" s="21" t="s">
        <v>9</v>
      </c>
      <c r="K26" s="210" t="s">
        <v>9</v>
      </c>
      <c r="L26" s="210" t="s">
        <v>9</v>
      </c>
      <c r="M26" s="210" t="s">
        <v>9</v>
      </c>
      <c r="N26" s="25"/>
      <c r="O26" s="51">
        <f t="shared" si="1"/>
        <v>7</v>
      </c>
      <c r="P26" s="78">
        <f t="shared" si="4"/>
        <v>0</v>
      </c>
      <c r="Q26" s="273">
        <f t="shared" si="2"/>
        <v>7</v>
      </c>
      <c r="R26" s="270">
        <v>280000</v>
      </c>
      <c r="S26" s="54">
        <f t="shared" si="3"/>
        <v>1960000</v>
      </c>
      <c r="T26" s="253"/>
    </row>
    <row r="27" spans="1:20" s="31" customFormat="1" x14ac:dyDescent="0.3">
      <c r="A27" s="61">
        <f t="shared" si="5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33"/>
      <c r="O27" s="51">
        <f t="shared" si="1"/>
        <v>0</v>
      </c>
      <c r="P27" s="78">
        <f t="shared" si="4"/>
        <v>0</v>
      </c>
      <c r="Q27" s="273">
        <f t="shared" si="2"/>
        <v>0</v>
      </c>
      <c r="R27" s="270">
        <v>370000</v>
      </c>
      <c r="S27" s="54">
        <f t="shared" si="3"/>
        <v>0</v>
      </c>
      <c r="T27" s="253"/>
    </row>
    <row r="28" spans="1:20" s="289" customFormat="1" x14ac:dyDescent="0.3">
      <c r="A28" s="276">
        <v>25</v>
      </c>
      <c r="B28" s="277" t="s">
        <v>194</v>
      </c>
      <c r="C28" s="277"/>
      <c r="D28" s="278" t="s">
        <v>4</v>
      </c>
      <c r="E28" s="279" t="s">
        <v>8</v>
      </c>
      <c r="F28" s="280" t="s">
        <v>9</v>
      </c>
      <c r="G28" s="280" t="s">
        <v>9</v>
      </c>
      <c r="H28" s="281" t="s">
        <v>9</v>
      </c>
      <c r="I28" s="280" t="s">
        <v>9</v>
      </c>
      <c r="J28" s="280" t="s">
        <v>9</v>
      </c>
      <c r="K28" s="282" t="s">
        <v>9</v>
      </c>
      <c r="L28" s="282" t="s">
        <v>9</v>
      </c>
      <c r="M28" s="282" t="s">
        <v>9</v>
      </c>
      <c r="N28" s="322" t="s">
        <v>9</v>
      </c>
      <c r="O28" s="318">
        <f t="shared" si="1"/>
        <v>9</v>
      </c>
      <c r="P28" s="284">
        <f t="shared" si="4"/>
        <v>0.5</v>
      </c>
      <c r="Q28" s="285">
        <f t="shared" si="2"/>
        <v>9.5</v>
      </c>
      <c r="R28" s="286">
        <v>400000</v>
      </c>
      <c r="S28" s="287">
        <f t="shared" si="3"/>
        <v>3800000</v>
      </c>
      <c r="T28" s="293">
        <v>2000000</v>
      </c>
    </row>
    <row r="29" spans="1:20" s="289" customFormat="1" x14ac:dyDescent="0.3">
      <c r="A29" s="276">
        <f t="shared" si="5"/>
        <v>26</v>
      </c>
      <c r="B29" s="277" t="s">
        <v>220</v>
      </c>
      <c r="C29" s="277"/>
      <c r="D29" s="278" t="s">
        <v>4</v>
      </c>
      <c r="E29" s="279" t="s">
        <v>9</v>
      </c>
      <c r="F29" s="280" t="s">
        <v>9</v>
      </c>
      <c r="G29" s="280" t="s">
        <v>9</v>
      </c>
      <c r="H29" s="281"/>
      <c r="I29" s="280" t="s">
        <v>9</v>
      </c>
      <c r="J29" s="280" t="s">
        <v>9</v>
      </c>
      <c r="K29" s="282" t="s">
        <v>8</v>
      </c>
      <c r="L29" s="282" t="s">
        <v>9</v>
      </c>
      <c r="M29" s="282" t="s">
        <v>9</v>
      </c>
      <c r="N29" s="322" t="s">
        <v>9</v>
      </c>
      <c r="O29" s="318">
        <f t="shared" si="1"/>
        <v>8</v>
      </c>
      <c r="P29" s="284">
        <f t="shared" si="4"/>
        <v>0.5</v>
      </c>
      <c r="Q29" s="285">
        <f t="shared" si="2"/>
        <v>8.5</v>
      </c>
      <c r="R29" s="286">
        <v>370000</v>
      </c>
      <c r="S29" s="287">
        <f t="shared" si="3"/>
        <v>3145000</v>
      </c>
      <c r="T29" s="293">
        <v>1000000</v>
      </c>
    </row>
    <row r="30" spans="1:20" s="55" customFormat="1" x14ac:dyDescent="0.3">
      <c r="A30" s="294">
        <f t="shared" si="5"/>
        <v>27</v>
      </c>
      <c r="B30" s="159" t="s">
        <v>221</v>
      </c>
      <c r="C30" s="159"/>
      <c r="D30" s="206" t="s">
        <v>4</v>
      </c>
      <c r="E30" s="127" t="s">
        <v>9</v>
      </c>
      <c r="F30" s="32" t="s">
        <v>9</v>
      </c>
      <c r="G30" s="32" t="s">
        <v>9</v>
      </c>
      <c r="H30" s="36" t="s">
        <v>9</v>
      </c>
      <c r="I30" s="32" t="s">
        <v>9</v>
      </c>
      <c r="J30" s="32"/>
      <c r="K30" s="211"/>
      <c r="L30" s="211" t="s">
        <v>9</v>
      </c>
      <c r="M30" s="211" t="s">
        <v>9</v>
      </c>
      <c r="N30" s="33"/>
      <c r="O30" s="51">
        <f t="shared" si="1"/>
        <v>7</v>
      </c>
      <c r="P30" s="78">
        <f t="shared" si="4"/>
        <v>0</v>
      </c>
      <c r="Q30" s="273">
        <f t="shared" si="2"/>
        <v>7</v>
      </c>
      <c r="R30" s="270">
        <v>380000</v>
      </c>
      <c r="S30" s="54">
        <f t="shared" si="3"/>
        <v>2660000</v>
      </c>
      <c r="T30" s="340"/>
    </row>
    <row r="31" spans="1:20" s="31" customFormat="1" x14ac:dyDescent="0.3">
      <c r="A31" s="61">
        <f t="shared" si="5"/>
        <v>28</v>
      </c>
      <c r="B31" s="48" t="s">
        <v>222</v>
      </c>
      <c r="C31" s="48"/>
      <c r="D31" s="204" t="s">
        <v>4</v>
      </c>
      <c r="E31" s="41" t="s">
        <v>9</v>
      </c>
      <c r="F31" s="32" t="s">
        <v>9</v>
      </c>
      <c r="G31" s="32" t="s">
        <v>9</v>
      </c>
      <c r="H31" s="36" t="s">
        <v>9</v>
      </c>
      <c r="I31" s="32" t="s">
        <v>9</v>
      </c>
      <c r="J31" s="32" t="s">
        <v>9</v>
      </c>
      <c r="K31" s="211" t="s">
        <v>9</v>
      </c>
      <c r="L31" s="211" t="s">
        <v>9</v>
      </c>
      <c r="M31" s="211" t="s">
        <v>9</v>
      </c>
      <c r="N31" s="33"/>
      <c r="O31" s="51">
        <f t="shared" si="1"/>
        <v>9</v>
      </c>
      <c r="P31" s="78">
        <f t="shared" si="4"/>
        <v>0</v>
      </c>
      <c r="Q31" s="273">
        <f t="shared" si="2"/>
        <v>9</v>
      </c>
      <c r="R31" s="270">
        <v>360000</v>
      </c>
      <c r="S31" s="54">
        <f t="shared" si="3"/>
        <v>3240000</v>
      </c>
      <c r="T31" s="253"/>
    </row>
    <row r="32" spans="1:20" s="31" customFormat="1" x14ac:dyDescent="0.3">
      <c r="A32" s="61">
        <f t="shared" si="5"/>
        <v>29</v>
      </c>
      <c r="B32" s="116" t="s">
        <v>223</v>
      </c>
      <c r="C32" s="116"/>
      <c r="D32" s="205" t="s">
        <v>5</v>
      </c>
      <c r="E32" s="41"/>
      <c r="F32" s="32"/>
      <c r="G32" s="32"/>
      <c r="H32" s="36"/>
      <c r="I32" s="32"/>
      <c r="J32" s="32"/>
      <c r="K32" s="211"/>
      <c r="L32" s="211"/>
      <c r="M32" s="211"/>
      <c r="N32" s="33"/>
      <c r="O32" s="51">
        <f t="shared" si="1"/>
        <v>0</v>
      </c>
      <c r="P32" s="78">
        <f t="shared" si="4"/>
        <v>0</v>
      </c>
      <c r="Q32" s="273">
        <f t="shared" si="2"/>
        <v>0</v>
      </c>
      <c r="R32" s="270">
        <v>280000</v>
      </c>
      <c r="S32" s="54">
        <f>Q32*R32</f>
        <v>0</v>
      </c>
      <c r="T32" s="253"/>
    </row>
    <row r="33" spans="1:21" s="31" customFormat="1" x14ac:dyDescent="0.3">
      <c r="A33" s="61">
        <f t="shared" si="5"/>
        <v>30</v>
      </c>
      <c r="B33" s="116" t="s">
        <v>224</v>
      </c>
      <c r="C33" s="116"/>
      <c r="D33" s="205" t="s">
        <v>4</v>
      </c>
      <c r="E33" s="127"/>
      <c r="F33" s="32"/>
      <c r="G33" s="32"/>
      <c r="H33" s="36"/>
      <c r="I33" s="32"/>
      <c r="J33" s="32"/>
      <c r="K33" s="211"/>
      <c r="L33" s="211"/>
      <c r="M33" s="211"/>
      <c r="N33" s="33"/>
      <c r="O33" s="51">
        <f t="shared" si="1"/>
        <v>0</v>
      </c>
      <c r="P33" s="78">
        <f t="shared" si="4"/>
        <v>0</v>
      </c>
      <c r="Q33" s="273">
        <f t="shared" si="2"/>
        <v>0</v>
      </c>
      <c r="R33" s="270">
        <v>370000</v>
      </c>
      <c r="S33" s="54">
        <f t="shared" si="3"/>
        <v>0</v>
      </c>
      <c r="T33" s="253"/>
    </row>
    <row r="34" spans="1:21" s="31" customFormat="1" x14ac:dyDescent="0.3">
      <c r="A34" s="61">
        <f t="shared" si="5"/>
        <v>31</v>
      </c>
      <c r="B34" s="116" t="s">
        <v>225</v>
      </c>
      <c r="C34" s="116"/>
      <c r="D34" s="205" t="s">
        <v>5</v>
      </c>
      <c r="E34" s="127"/>
      <c r="F34" s="32"/>
      <c r="G34" s="32"/>
      <c r="H34" s="36"/>
      <c r="I34" s="32"/>
      <c r="J34" s="32"/>
      <c r="K34" s="211"/>
      <c r="L34" s="211"/>
      <c r="M34" s="211"/>
      <c r="N34" s="33"/>
      <c r="O34" s="51">
        <f t="shared" si="1"/>
        <v>0</v>
      </c>
      <c r="P34" s="78">
        <f t="shared" si="4"/>
        <v>0</v>
      </c>
      <c r="Q34" s="273">
        <f t="shared" si="2"/>
        <v>0</v>
      </c>
      <c r="R34" s="270">
        <v>270000</v>
      </c>
      <c r="S34" s="54">
        <f t="shared" si="3"/>
        <v>0</v>
      </c>
      <c r="T34" s="253"/>
    </row>
    <row r="35" spans="1:21" s="31" customFormat="1" x14ac:dyDescent="0.3">
      <c r="A35" s="61">
        <f t="shared" si="5"/>
        <v>32</v>
      </c>
      <c r="B35" s="116" t="s">
        <v>226</v>
      </c>
      <c r="C35" s="116"/>
      <c r="D35" s="205" t="s">
        <v>4</v>
      </c>
      <c r="E35" s="127"/>
      <c r="F35" s="32"/>
      <c r="G35" s="32"/>
      <c r="H35" s="36"/>
      <c r="I35" s="32"/>
      <c r="J35" s="32"/>
      <c r="K35" s="211"/>
      <c r="L35" s="211"/>
      <c r="M35" s="211"/>
      <c r="N35" s="33"/>
      <c r="O35" s="51">
        <f t="shared" si="1"/>
        <v>0</v>
      </c>
      <c r="P35" s="78">
        <f t="shared" si="4"/>
        <v>0</v>
      </c>
      <c r="Q35" s="273">
        <f t="shared" si="2"/>
        <v>0</v>
      </c>
      <c r="R35" s="270">
        <v>360000</v>
      </c>
      <c r="S35" s="54">
        <f t="shared" si="3"/>
        <v>0</v>
      </c>
      <c r="T35" s="253"/>
    </row>
    <row r="36" spans="1:21" s="55" customFormat="1" ht="19.2" customHeight="1" x14ac:dyDescent="0.3">
      <c r="A36" s="294">
        <f t="shared" si="5"/>
        <v>33</v>
      </c>
      <c r="B36" s="159" t="s">
        <v>229</v>
      </c>
      <c r="C36" s="159"/>
      <c r="D36" s="206" t="s">
        <v>5</v>
      </c>
      <c r="E36" s="127" t="s">
        <v>9</v>
      </c>
      <c r="F36" s="32" t="s">
        <v>9</v>
      </c>
      <c r="G36" s="32" t="s">
        <v>9</v>
      </c>
      <c r="H36" s="36"/>
      <c r="I36" s="32"/>
      <c r="J36" s="32"/>
      <c r="K36" s="211"/>
      <c r="L36" s="211"/>
      <c r="M36" s="211"/>
      <c r="N36" s="33"/>
      <c r="O36" s="51">
        <f t="shared" ref="O36:O67" si="6">COUNTIF(E36:N36,"X")</f>
        <v>3</v>
      </c>
      <c r="P36" s="78">
        <f t="shared" si="4"/>
        <v>0</v>
      </c>
      <c r="Q36" s="273">
        <f t="shared" si="2"/>
        <v>3</v>
      </c>
      <c r="R36" s="270">
        <v>280000</v>
      </c>
      <c r="S36" s="54">
        <f>Q36*R36</f>
        <v>840000</v>
      </c>
      <c r="T36" s="254"/>
      <c r="U36" s="295"/>
    </row>
    <row r="37" spans="1:21" s="55" customFormat="1" x14ac:dyDescent="0.3">
      <c r="A37" s="61">
        <f t="shared" si="5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33"/>
      <c r="O37" s="51">
        <f t="shared" si="6"/>
        <v>0</v>
      </c>
      <c r="P37" s="78">
        <f t="shared" ref="P37:P68" si="7">COUNTIF(E37:N37,"X/2")/2</f>
        <v>0</v>
      </c>
      <c r="Q37" s="273">
        <f t="shared" si="2"/>
        <v>0</v>
      </c>
      <c r="R37" s="270">
        <v>260000</v>
      </c>
      <c r="S37" s="54">
        <f t="shared" si="3"/>
        <v>0</v>
      </c>
      <c r="T37" s="254"/>
    </row>
    <row r="38" spans="1:21" s="31" customFormat="1" x14ac:dyDescent="0.3">
      <c r="A38" s="61">
        <f t="shared" si="5"/>
        <v>35</v>
      </c>
      <c r="B38" s="116" t="s">
        <v>231</v>
      </c>
      <c r="C38" s="116"/>
      <c r="D38" s="205" t="s">
        <v>4</v>
      </c>
      <c r="E38" s="127" t="s">
        <v>9</v>
      </c>
      <c r="F38" s="32" t="s">
        <v>9</v>
      </c>
      <c r="G38" s="32" t="s">
        <v>9</v>
      </c>
      <c r="H38" s="36" t="s">
        <v>9</v>
      </c>
      <c r="I38" s="32" t="s">
        <v>9</v>
      </c>
      <c r="J38" s="32"/>
      <c r="K38" s="211" t="s">
        <v>9</v>
      </c>
      <c r="L38" s="211" t="s">
        <v>9</v>
      </c>
      <c r="M38" s="211" t="s">
        <v>9</v>
      </c>
      <c r="N38" s="33"/>
      <c r="O38" s="51">
        <f t="shared" si="6"/>
        <v>8</v>
      </c>
      <c r="P38" s="78">
        <f t="shared" si="7"/>
        <v>0</v>
      </c>
      <c r="Q38" s="273">
        <f t="shared" si="2"/>
        <v>8</v>
      </c>
      <c r="R38" s="270">
        <v>360000</v>
      </c>
      <c r="S38" s="54">
        <f t="shared" si="3"/>
        <v>2880000</v>
      </c>
      <c r="T38" s="253"/>
    </row>
    <row r="39" spans="1:21" s="31" customFormat="1" x14ac:dyDescent="0.3">
      <c r="A39" s="61">
        <f t="shared" si="5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33"/>
      <c r="O39" s="51">
        <f t="shared" si="6"/>
        <v>0</v>
      </c>
      <c r="P39" s="78">
        <f t="shared" si="7"/>
        <v>0</v>
      </c>
      <c r="Q39" s="273">
        <f t="shared" si="2"/>
        <v>0</v>
      </c>
      <c r="R39" s="270">
        <v>360000</v>
      </c>
      <c r="S39" s="54">
        <f t="shared" si="3"/>
        <v>0</v>
      </c>
      <c r="T39" s="253"/>
    </row>
    <row r="40" spans="1:21" s="31" customFormat="1" x14ac:dyDescent="0.3">
      <c r="A40" s="61">
        <f t="shared" si="5"/>
        <v>37</v>
      </c>
      <c r="B40" s="116" t="s">
        <v>233</v>
      </c>
      <c r="C40" s="116"/>
      <c r="D40" s="205" t="s">
        <v>5</v>
      </c>
      <c r="E40" s="127" t="s">
        <v>9</v>
      </c>
      <c r="F40" s="32" t="s">
        <v>9</v>
      </c>
      <c r="G40" s="32" t="s">
        <v>9</v>
      </c>
      <c r="H40" s="36" t="s">
        <v>9</v>
      </c>
      <c r="I40" s="32" t="s">
        <v>9</v>
      </c>
      <c r="J40" s="32"/>
      <c r="K40" s="211" t="s">
        <v>9</v>
      </c>
      <c r="L40" s="211" t="s">
        <v>9</v>
      </c>
      <c r="M40" s="211" t="s">
        <v>9</v>
      </c>
      <c r="N40" s="33"/>
      <c r="O40" s="51">
        <f t="shared" si="6"/>
        <v>8</v>
      </c>
      <c r="P40" s="78">
        <f t="shared" si="7"/>
        <v>0</v>
      </c>
      <c r="Q40" s="273">
        <f t="shared" si="2"/>
        <v>8</v>
      </c>
      <c r="R40" s="270">
        <v>260000</v>
      </c>
      <c r="S40" s="54">
        <f t="shared" si="3"/>
        <v>2080000</v>
      </c>
      <c r="T40" s="253"/>
    </row>
    <row r="41" spans="1:21" s="31" customFormat="1" x14ac:dyDescent="0.3">
      <c r="A41" s="61">
        <f t="shared" si="5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33"/>
      <c r="O41" s="51">
        <f t="shared" si="6"/>
        <v>0</v>
      </c>
      <c r="P41" s="78">
        <f t="shared" si="7"/>
        <v>0</v>
      </c>
      <c r="Q41" s="273">
        <f t="shared" si="2"/>
        <v>0</v>
      </c>
      <c r="R41" s="270">
        <v>370000</v>
      </c>
      <c r="S41" s="54">
        <f t="shared" si="3"/>
        <v>0</v>
      </c>
      <c r="T41" s="253"/>
    </row>
    <row r="42" spans="1:21" s="31" customFormat="1" x14ac:dyDescent="0.3">
      <c r="A42" s="61">
        <f t="shared" si="5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33"/>
      <c r="O42" s="51">
        <f t="shared" si="6"/>
        <v>0</v>
      </c>
      <c r="P42" s="78">
        <f t="shared" si="7"/>
        <v>0</v>
      </c>
      <c r="Q42" s="273">
        <f t="shared" si="2"/>
        <v>0</v>
      </c>
      <c r="R42" s="270">
        <v>270000</v>
      </c>
      <c r="S42" s="54">
        <f t="shared" si="3"/>
        <v>0</v>
      </c>
      <c r="T42" s="253"/>
    </row>
    <row r="43" spans="1:21" s="55" customFormat="1" ht="19.2" customHeight="1" x14ac:dyDescent="0.3">
      <c r="A43" s="294">
        <f t="shared" si="5"/>
        <v>40</v>
      </c>
      <c r="B43" s="159" t="s">
        <v>235</v>
      </c>
      <c r="C43" s="159"/>
      <c r="D43" s="206" t="s">
        <v>4</v>
      </c>
      <c r="E43" s="127" t="s">
        <v>9</v>
      </c>
      <c r="F43" s="32" t="s">
        <v>9</v>
      </c>
      <c r="G43" s="32" t="s">
        <v>9</v>
      </c>
      <c r="H43" s="36"/>
      <c r="I43" s="32" t="s">
        <v>9</v>
      </c>
      <c r="J43" s="32" t="s">
        <v>9</v>
      </c>
      <c r="K43" s="211" t="s">
        <v>9</v>
      </c>
      <c r="L43" s="211" t="s">
        <v>9</v>
      </c>
      <c r="M43" s="211" t="s">
        <v>9</v>
      </c>
      <c r="N43" s="33"/>
      <c r="O43" s="51">
        <f t="shared" si="6"/>
        <v>8</v>
      </c>
      <c r="P43" s="78">
        <f t="shared" si="7"/>
        <v>0</v>
      </c>
      <c r="Q43" s="273">
        <f t="shared" si="2"/>
        <v>8</v>
      </c>
      <c r="R43" s="270">
        <v>370000</v>
      </c>
      <c r="S43" s="54">
        <f>Q43*R43</f>
        <v>2960000</v>
      </c>
      <c r="T43" s="254"/>
      <c r="U43" s="295"/>
    </row>
    <row r="44" spans="1:21" s="31" customFormat="1" x14ac:dyDescent="0.3">
      <c r="A44" s="61">
        <f t="shared" si="5"/>
        <v>41</v>
      </c>
      <c r="B44" s="116" t="s">
        <v>237</v>
      </c>
      <c r="C44" s="116"/>
      <c r="D44" s="205" t="s">
        <v>5</v>
      </c>
      <c r="E44" s="127" t="s">
        <v>9</v>
      </c>
      <c r="F44" s="32" t="s">
        <v>9</v>
      </c>
      <c r="G44" s="32" t="s">
        <v>9</v>
      </c>
      <c r="H44" s="36"/>
      <c r="I44" s="32" t="s">
        <v>9</v>
      </c>
      <c r="J44" s="32" t="s">
        <v>9</v>
      </c>
      <c r="K44" s="211" t="s">
        <v>9</v>
      </c>
      <c r="L44" s="211" t="s">
        <v>9</v>
      </c>
      <c r="M44" s="211" t="s">
        <v>9</v>
      </c>
      <c r="N44" s="33"/>
      <c r="O44" s="51">
        <f t="shared" si="6"/>
        <v>8</v>
      </c>
      <c r="P44" s="78">
        <f t="shared" si="7"/>
        <v>0</v>
      </c>
      <c r="Q44" s="273">
        <f t="shared" si="2"/>
        <v>8</v>
      </c>
      <c r="R44" s="270">
        <v>270000</v>
      </c>
      <c r="S44" s="54">
        <f t="shared" si="3"/>
        <v>2160000</v>
      </c>
      <c r="T44" s="253"/>
    </row>
    <row r="45" spans="1:21" s="31" customFormat="1" x14ac:dyDescent="0.3">
      <c r="A45" s="61">
        <f t="shared" si="5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33"/>
      <c r="O45" s="51">
        <f t="shared" si="6"/>
        <v>0</v>
      </c>
      <c r="P45" s="78">
        <f t="shared" si="7"/>
        <v>0</v>
      </c>
      <c r="Q45" s="273">
        <f t="shared" si="2"/>
        <v>0</v>
      </c>
      <c r="R45" s="270">
        <v>270000</v>
      </c>
      <c r="S45" s="54">
        <f t="shared" si="3"/>
        <v>0</v>
      </c>
      <c r="T45" s="253"/>
    </row>
    <row r="46" spans="1:21" s="31" customFormat="1" x14ac:dyDescent="0.3">
      <c r="A46" s="61">
        <f t="shared" si="5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5"/>
      <c r="O46" s="51">
        <f t="shared" si="6"/>
        <v>0</v>
      </c>
      <c r="P46" s="78">
        <f t="shared" si="7"/>
        <v>0</v>
      </c>
      <c r="Q46" s="273">
        <f t="shared" si="2"/>
        <v>0</v>
      </c>
      <c r="R46" s="270">
        <v>270000</v>
      </c>
      <c r="S46" s="54">
        <f t="shared" si="3"/>
        <v>0</v>
      </c>
      <c r="T46" s="253"/>
    </row>
    <row r="47" spans="1:21" s="55" customFormat="1" ht="19.2" customHeight="1" x14ac:dyDescent="0.3">
      <c r="A47" s="294">
        <f t="shared" si="5"/>
        <v>44</v>
      </c>
      <c r="B47" s="159" t="s">
        <v>240</v>
      </c>
      <c r="C47" s="159"/>
      <c r="D47" s="206" t="s">
        <v>4</v>
      </c>
      <c r="E47" s="127" t="s">
        <v>9</v>
      </c>
      <c r="F47" s="32" t="s">
        <v>9</v>
      </c>
      <c r="G47" s="32" t="s">
        <v>9</v>
      </c>
      <c r="H47" s="36" t="s">
        <v>9</v>
      </c>
      <c r="I47" s="32" t="s">
        <v>9</v>
      </c>
      <c r="J47" s="32" t="s">
        <v>9</v>
      </c>
      <c r="K47" s="211" t="s">
        <v>9</v>
      </c>
      <c r="L47" s="211" t="s">
        <v>9</v>
      </c>
      <c r="M47" s="211" t="s">
        <v>9</v>
      </c>
      <c r="N47" s="33"/>
      <c r="O47" s="51">
        <f t="shared" si="6"/>
        <v>9</v>
      </c>
      <c r="P47" s="78">
        <f t="shared" si="7"/>
        <v>0</v>
      </c>
      <c r="Q47" s="273">
        <f t="shared" si="2"/>
        <v>9</v>
      </c>
      <c r="R47" s="270">
        <v>370000</v>
      </c>
      <c r="S47" s="54">
        <f>Q47*R47</f>
        <v>3330000</v>
      </c>
      <c r="T47" s="254"/>
      <c r="U47" s="295"/>
    </row>
    <row r="48" spans="1:21" s="31" customFormat="1" x14ac:dyDescent="0.3">
      <c r="A48" s="61">
        <f t="shared" si="5"/>
        <v>45</v>
      </c>
      <c r="B48" s="116" t="s">
        <v>241</v>
      </c>
      <c r="C48" s="116"/>
      <c r="D48" s="205" t="s">
        <v>4</v>
      </c>
      <c r="E48" s="127" t="s">
        <v>9</v>
      </c>
      <c r="F48" s="32" t="s">
        <v>9</v>
      </c>
      <c r="G48" s="32" t="s">
        <v>9</v>
      </c>
      <c r="H48" s="36" t="s">
        <v>9</v>
      </c>
      <c r="I48" s="32" t="s">
        <v>9</v>
      </c>
      <c r="J48" s="32" t="s">
        <v>9</v>
      </c>
      <c r="K48" s="211" t="s">
        <v>9</v>
      </c>
      <c r="L48" s="211" t="s">
        <v>9</v>
      </c>
      <c r="M48" s="211" t="s">
        <v>9</v>
      </c>
      <c r="N48" s="33"/>
      <c r="O48" s="51">
        <f t="shared" si="6"/>
        <v>9</v>
      </c>
      <c r="P48" s="78">
        <f t="shared" si="7"/>
        <v>0</v>
      </c>
      <c r="Q48" s="273">
        <f t="shared" si="2"/>
        <v>9</v>
      </c>
      <c r="R48" s="270">
        <v>360000</v>
      </c>
      <c r="S48" s="54">
        <f t="shared" si="3"/>
        <v>3240000</v>
      </c>
      <c r="T48" s="253"/>
    </row>
    <row r="49" spans="1:21" s="31" customFormat="1" x14ac:dyDescent="0.3">
      <c r="A49" s="61">
        <f t="shared" si="5"/>
        <v>46</v>
      </c>
      <c r="B49" s="116" t="s">
        <v>242</v>
      </c>
      <c r="C49" s="116"/>
      <c r="D49" s="205" t="s">
        <v>5</v>
      </c>
      <c r="E49" s="127" t="s">
        <v>9</v>
      </c>
      <c r="F49" s="32" t="s">
        <v>9</v>
      </c>
      <c r="G49" s="32" t="s">
        <v>9</v>
      </c>
      <c r="H49" s="36" t="s">
        <v>9</v>
      </c>
      <c r="I49" s="32" t="s">
        <v>9</v>
      </c>
      <c r="J49" s="32"/>
      <c r="K49" s="211" t="s">
        <v>9</v>
      </c>
      <c r="L49" s="211" t="s">
        <v>9</v>
      </c>
      <c r="M49" s="211" t="s">
        <v>9</v>
      </c>
      <c r="N49" s="33"/>
      <c r="O49" s="51">
        <f t="shared" si="6"/>
        <v>8</v>
      </c>
      <c r="P49" s="78">
        <f t="shared" si="7"/>
        <v>0</v>
      </c>
      <c r="Q49" s="273">
        <f t="shared" si="2"/>
        <v>8</v>
      </c>
      <c r="R49" s="270">
        <v>270000</v>
      </c>
      <c r="S49" s="54">
        <f t="shared" si="3"/>
        <v>2160000</v>
      </c>
      <c r="T49" s="253"/>
    </row>
    <row r="50" spans="1:21" s="31" customFormat="1" x14ac:dyDescent="0.3">
      <c r="A50" s="61">
        <f t="shared" si="5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33"/>
      <c r="O50" s="51">
        <f t="shared" si="6"/>
        <v>0</v>
      </c>
      <c r="P50" s="78">
        <f t="shared" si="7"/>
        <v>0</v>
      </c>
      <c r="Q50" s="273">
        <f t="shared" si="2"/>
        <v>0</v>
      </c>
      <c r="R50" s="270">
        <v>270000</v>
      </c>
      <c r="S50" s="54">
        <f t="shared" si="3"/>
        <v>0</v>
      </c>
      <c r="T50" s="253"/>
    </row>
    <row r="51" spans="1:21" s="31" customFormat="1" x14ac:dyDescent="0.3">
      <c r="A51" s="61">
        <f t="shared" si="5"/>
        <v>48</v>
      </c>
      <c r="B51" s="116" t="s">
        <v>287</v>
      </c>
      <c r="C51" s="116"/>
      <c r="D51" s="205" t="s">
        <v>4</v>
      </c>
      <c r="E51" s="127" t="s">
        <v>9</v>
      </c>
      <c r="F51" s="32" t="s">
        <v>9</v>
      </c>
      <c r="G51" s="32" t="s">
        <v>9</v>
      </c>
      <c r="H51" s="36" t="s">
        <v>9</v>
      </c>
      <c r="I51" s="32" t="s">
        <v>9</v>
      </c>
      <c r="J51" s="32"/>
      <c r="K51" s="211"/>
      <c r="L51" s="211"/>
      <c r="M51" s="211"/>
      <c r="N51" s="33"/>
      <c r="O51" s="51">
        <f t="shared" si="6"/>
        <v>5</v>
      </c>
      <c r="P51" s="78">
        <f t="shared" si="7"/>
        <v>0</v>
      </c>
      <c r="Q51" s="273">
        <f t="shared" si="2"/>
        <v>5</v>
      </c>
      <c r="R51" s="270">
        <v>360000</v>
      </c>
      <c r="S51" s="54">
        <f t="shared" si="3"/>
        <v>1800000</v>
      </c>
      <c r="T51" s="253"/>
    </row>
    <row r="52" spans="1:21" s="31" customFormat="1" x14ac:dyDescent="0.3">
      <c r="A52" s="61">
        <f t="shared" si="5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33"/>
      <c r="O52" s="51">
        <f t="shared" si="6"/>
        <v>0</v>
      </c>
      <c r="P52" s="78">
        <f t="shared" si="7"/>
        <v>0</v>
      </c>
      <c r="Q52" s="273">
        <f t="shared" si="2"/>
        <v>0</v>
      </c>
      <c r="R52" s="270">
        <v>360000</v>
      </c>
      <c r="S52" s="54">
        <f t="shared" si="3"/>
        <v>0</v>
      </c>
      <c r="T52" s="253"/>
    </row>
    <row r="53" spans="1:21" s="31" customFormat="1" x14ac:dyDescent="0.3">
      <c r="A53" s="61">
        <f t="shared" si="5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33"/>
      <c r="O53" s="51">
        <f t="shared" si="6"/>
        <v>0</v>
      </c>
      <c r="P53" s="78">
        <f t="shared" si="7"/>
        <v>0</v>
      </c>
      <c r="Q53" s="273">
        <f t="shared" si="2"/>
        <v>0</v>
      </c>
      <c r="R53" s="270">
        <v>270000</v>
      </c>
      <c r="S53" s="54">
        <f t="shared" si="3"/>
        <v>0</v>
      </c>
      <c r="T53" s="253"/>
    </row>
    <row r="54" spans="1:21" s="289" customFormat="1" x14ac:dyDescent="0.3">
      <c r="A54" s="276">
        <f t="shared" si="5"/>
        <v>51</v>
      </c>
      <c r="B54" s="277" t="s">
        <v>288</v>
      </c>
      <c r="C54" s="277"/>
      <c r="D54" s="278" t="s">
        <v>5</v>
      </c>
      <c r="E54" s="279" t="s">
        <v>8</v>
      </c>
      <c r="F54" s="280" t="s">
        <v>9</v>
      </c>
      <c r="G54" s="280" t="s">
        <v>9</v>
      </c>
      <c r="H54" s="281" t="s">
        <v>9</v>
      </c>
      <c r="I54" s="280" t="s">
        <v>9</v>
      </c>
      <c r="J54" s="280" t="s">
        <v>9</v>
      </c>
      <c r="K54" s="282" t="s">
        <v>9</v>
      </c>
      <c r="L54" s="282" t="s">
        <v>9</v>
      </c>
      <c r="M54" s="282" t="s">
        <v>9</v>
      </c>
      <c r="N54" s="322" t="s">
        <v>9</v>
      </c>
      <c r="O54" s="318">
        <f t="shared" si="6"/>
        <v>9</v>
      </c>
      <c r="P54" s="284">
        <f t="shared" si="7"/>
        <v>0.5</v>
      </c>
      <c r="Q54" s="285">
        <f t="shared" si="2"/>
        <v>9.5</v>
      </c>
      <c r="R54" s="286">
        <v>270000</v>
      </c>
      <c r="S54" s="287">
        <f t="shared" si="3"/>
        <v>2565000</v>
      </c>
      <c r="T54" s="288"/>
    </row>
    <row r="55" spans="1:21" s="31" customFormat="1" x14ac:dyDescent="0.3">
      <c r="A55" s="61">
        <f t="shared" si="5"/>
        <v>52</v>
      </c>
      <c r="B55" s="116" t="s">
        <v>291</v>
      </c>
      <c r="C55" s="116"/>
      <c r="D55" s="205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33"/>
      <c r="O55" s="51">
        <f t="shared" si="6"/>
        <v>0</v>
      </c>
      <c r="P55" s="78">
        <f t="shared" si="7"/>
        <v>0</v>
      </c>
      <c r="Q55" s="273">
        <f t="shared" si="2"/>
        <v>0</v>
      </c>
      <c r="R55" s="270">
        <v>270000</v>
      </c>
      <c r="S55" s="54">
        <f>Q55*R55</f>
        <v>0</v>
      </c>
      <c r="T55" s="253"/>
    </row>
    <row r="56" spans="1:21" s="55" customFormat="1" ht="19.2" customHeight="1" x14ac:dyDescent="0.3">
      <c r="A56" s="294">
        <f t="shared" si="5"/>
        <v>53</v>
      </c>
      <c r="B56" s="159" t="s">
        <v>295</v>
      </c>
      <c r="C56" s="159"/>
      <c r="D56" s="206" t="s">
        <v>5</v>
      </c>
      <c r="E56" s="127" t="s">
        <v>9</v>
      </c>
      <c r="F56" s="32" t="s">
        <v>9</v>
      </c>
      <c r="G56" s="32" t="s">
        <v>9</v>
      </c>
      <c r="H56" s="36" t="s">
        <v>9</v>
      </c>
      <c r="I56" s="32"/>
      <c r="J56" s="32"/>
      <c r="K56" s="211"/>
      <c r="L56" s="211"/>
      <c r="M56" s="211"/>
      <c r="N56" s="33"/>
      <c r="O56" s="51">
        <f t="shared" si="6"/>
        <v>4</v>
      </c>
      <c r="P56" s="78">
        <f t="shared" si="7"/>
        <v>0</v>
      </c>
      <c r="Q56" s="273">
        <f t="shared" si="2"/>
        <v>4</v>
      </c>
      <c r="R56" s="270">
        <v>280000</v>
      </c>
      <c r="S56" s="54">
        <f>Q56*R56</f>
        <v>1120000</v>
      </c>
      <c r="T56" s="254"/>
      <c r="U56" s="295"/>
    </row>
    <row r="57" spans="1:21" s="31" customFormat="1" x14ac:dyDescent="0.3">
      <c r="A57" s="61">
        <f t="shared" si="5"/>
        <v>54</v>
      </c>
      <c r="B57" s="116" t="s">
        <v>296</v>
      </c>
      <c r="C57" s="116"/>
      <c r="D57" s="205" t="s">
        <v>5</v>
      </c>
      <c r="E57" s="127"/>
      <c r="F57" s="32"/>
      <c r="G57" s="32"/>
      <c r="H57" s="36"/>
      <c r="I57" s="32"/>
      <c r="J57" s="32"/>
      <c r="K57" s="211"/>
      <c r="L57" s="211"/>
      <c r="M57" s="211"/>
      <c r="N57" s="33"/>
      <c r="O57" s="51">
        <f t="shared" si="6"/>
        <v>0</v>
      </c>
      <c r="P57" s="78">
        <f t="shared" si="7"/>
        <v>0</v>
      </c>
      <c r="Q57" s="273">
        <f t="shared" si="2"/>
        <v>0</v>
      </c>
      <c r="R57" s="270">
        <v>270000</v>
      </c>
      <c r="S57" s="54">
        <f t="shared" si="3"/>
        <v>0</v>
      </c>
      <c r="T57" s="253"/>
    </row>
    <row r="58" spans="1:21" s="31" customFormat="1" x14ac:dyDescent="0.3">
      <c r="A58" s="61">
        <f t="shared" si="5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33"/>
      <c r="O58" s="51">
        <f t="shared" si="6"/>
        <v>0</v>
      </c>
      <c r="P58" s="78">
        <f t="shared" si="7"/>
        <v>0</v>
      </c>
      <c r="Q58" s="273">
        <f t="shared" si="2"/>
        <v>0</v>
      </c>
      <c r="R58" s="270">
        <v>360000</v>
      </c>
      <c r="S58" s="54">
        <f t="shared" si="3"/>
        <v>0</v>
      </c>
      <c r="T58" s="253"/>
    </row>
    <row r="59" spans="1:21" s="31" customFormat="1" x14ac:dyDescent="0.3">
      <c r="A59" s="61">
        <f t="shared" si="5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33"/>
      <c r="O59" s="51">
        <f t="shared" si="6"/>
        <v>0</v>
      </c>
      <c r="P59" s="78">
        <f t="shared" si="7"/>
        <v>0</v>
      </c>
      <c r="Q59" s="273">
        <f t="shared" si="2"/>
        <v>0</v>
      </c>
      <c r="R59" s="270">
        <v>270000</v>
      </c>
      <c r="S59" s="54">
        <f t="shared" si="3"/>
        <v>0</v>
      </c>
      <c r="T59" s="253"/>
    </row>
    <row r="60" spans="1:21" s="31" customFormat="1" x14ac:dyDescent="0.3">
      <c r="A60" s="61">
        <f t="shared" si="5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33"/>
      <c r="O60" s="51">
        <f t="shared" si="6"/>
        <v>0</v>
      </c>
      <c r="P60" s="78">
        <f t="shared" si="7"/>
        <v>0</v>
      </c>
      <c r="Q60" s="273">
        <f t="shared" si="2"/>
        <v>0</v>
      </c>
      <c r="R60" s="270">
        <v>260000</v>
      </c>
      <c r="S60" s="54">
        <f t="shared" si="3"/>
        <v>0</v>
      </c>
      <c r="T60" s="253"/>
    </row>
    <row r="61" spans="1:21" s="31" customFormat="1" x14ac:dyDescent="0.3">
      <c r="A61" s="61">
        <f t="shared" si="5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33"/>
      <c r="O61" s="162">
        <f t="shared" si="6"/>
        <v>0</v>
      </c>
      <c r="P61" s="163">
        <f t="shared" si="7"/>
        <v>0</v>
      </c>
      <c r="Q61" s="273">
        <f t="shared" si="2"/>
        <v>0</v>
      </c>
      <c r="R61" s="270">
        <v>360000</v>
      </c>
      <c r="S61" s="54">
        <f t="shared" si="3"/>
        <v>0</v>
      </c>
      <c r="T61" s="253"/>
    </row>
    <row r="62" spans="1:21" s="31" customFormat="1" x14ac:dyDescent="0.3">
      <c r="A62" s="61">
        <f t="shared" si="5"/>
        <v>59</v>
      </c>
      <c r="B62" s="116" t="s">
        <v>362</v>
      </c>
      <c r="C62" s="116"/>
      <c r="D62" s="205" t="s">
        <v>5</v>
      </c>
      <c r="E62" s="127" t="s">
        <v>9</v>
      </c>
      <c r="F62" s="32" t="s">
        <v>9</v>
      </c>
      <c r="G62" s="32" t="s">
        <v>9</v>
      </c>
      <c r="H62" s="36" t="s">
        <v>9</v>
      </c>
      <c r="I62" s="32" t="s">
        <v>9</v>
      </c>
      <c r="J62" s="32"/>
      <c r="K62" s="211" t="s">
        <v>9</v>
      </c>
      <c r="L62" s="211" t="s">
        <v>9</v>
      </c>
      <c r="M62" s="211"/>
      <c r="N62" s="33"/>
      <c r="O62" s="162">
        <f t="shared" si="6"/>
        <v>7</v>
      </c>
      <c r="P62" s="163">
        <f t="shared" si="7"/>
        <v>0</v>
      </c>
      <c r="Q62" s="273">
        <f t="shared" si="2"/>
        <v>7</v>
      </c>
      <c r="R62" s="270">
        <v>260000</v>
      </c>
      <c r="S62" s="54">
        <f t="shared" si="3"/>
        <v>1820000</v>
      </c>
      <c r="T62" s="253"/>
    </row>
    <row r="63" spans="1:21" s="31" customFormat="1" x14ac:dyDescent="0.3">
      <c r="A63" s="61">
        <f t="shared" si="5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33"/>
      <c r="O63" s="162">
        <f t="shared" si="6"/>
        <v>0</v>
      </c>
      <c r="P63" s="163">
        <f t="shared" si="7"/>
        <v>0</v>
      </c>
      <c r="Q63" s="273">
        <f t="shared" si="2"/>
        <v>0</v>
      </c>
      <c r="R63" s="270">
        <v>260000</v>
      </c>
      <c r="S63" s="54">
        <f t="shared" si="3"/>
        <v>0</v>
      </c>
      <c r="T63" s="253"/>
    </row>
    <row r="64" spans="1:21" s="31" customFormat="1" x14ac:dyDescent="0.3">
      <c r="A64" s="61">
        <f t="shared" si="5"/>
        <v>61</v>
      </c>
      <c r="B64" s="116" t="s">
        <v>364</v>
      </c>
      <c r="C64" s="116"/>
      <c r="D64" s="205" t="s">
        <v>4</v>
      </c>
      <c r="E64" s="127" t="s">
        <v>9</v>
      </c>
      <c r="F64" s="32" t="s">
        <v>9</v>
      </c>
      <c r="G64" s="32" t="s">
        <v>9</v>
      </c>
      <c r="H64" s="36" t="s">
        <v>9</v>
      </c>
      <c r="I64" s="32" t="s">
        <v>9</v>
      </c>
      <c r="J64" s="32" t="s">
        <v>9</v>
      </c>
      <c r="K64" s="211" t="s">
        <v>9</v>
      </c>
      <c r="L64" s="211" t="s">
        <v>9</v>
      </c>
      <c r="M64" s="211" t="s">
        <v>9</v>
      </c>
      <c r="N64" s="33"/>
      <c r="O64" s="162">
        <f t="shared" si="6"/>
        <v>9</v>
      </c>
      <c r="P64" s="163">
        <f t="shared" si="7"/>
        <v>0</v>
      </c>
      <c r="Q64" s="273">
        <f t="shared" si="2"/>
        <v>9</v>
      </c>
      <c r="R64" s="270">
        <v>360000</v>
      </c>
      <c r="S64" s="54">
        <f t="shared" si="3"/>
        <v>3240000</v>
      </c>
      <c r="T64" s="253"/>
    </row>
    <row r="65" spans="1:20" s="31" customFormat="1" x14ac:dyDescent="0.3">
      <c r="A65" s="61">
        <f t="shared" si="5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33"/>
      <c r="O65" s="162">
        <f t="shared" si="6"/>
        <v>0</v>
      </c>
      <c r="P65" s="163">
        <f t="shared" si="7"/>
        <v>0</v>
      </c>
      <c r="Q65" s="273">
        <f t="shared" si="2"/>
        <v>0</v>
      </c>
      <c r="R65" s="270">
        <v>260000</v>
      </c>
      <c r="S65" s="54">
        <f t="shared" si="3"/>
        <v>0</v>
      </c>
      <c r="T65" s="253"/>
    </row>
    <row r="66" spans="1:20" s="31" customFormat="1" x14ac:dyDescent="0.3">
      <c r="A66" s="61">
        <f t="shared" si="5"/>
        <v>63</v>
      </c>
      <c r="B66" s="116" t="s">
        <v>366</v>
      </c>
      <c r="C66" s="116"/>
      <c r="D66" s="205" t="s">
        <v>4</v>
      </c>
      <c r="E66" s="127" t="s">
        <v>9</v>
      </c>
      <c r="F66" s="32" t="s">
        <v>9</v>
      </c>
      <c r="G66" s="32" t="s">
        <v>9</v>
      </c>
      <c r="H66" s="36" t="s">
        <v>9</v>
      </c>
      <c r="I66" s="32" t="s">
        <v>9</v>
      </c>
      <c r="J66" s="32" t="s">
        <v>9</v>
      </c>
      <c r="K66" s="211" t="s">
        <v>9</v>
      </c>
      <c r="L66" s="211" t="s">
        <v>9</v>
      </c>
      <c r="M66" s="211" t="s">
        <v>9</v>
      </c>
      <c r="N66" s="33"/>
      <c r="O66" s="162">
        <f t="shared" si="6"/>
        <v>9</v>
      </c>
      <c r="P66" s="163">
        <f t="shared" si="7"/>
        <v>0</v>
      </c>
      <c r="Q66" s="273">
        <f t="shared" si="2"/>
        <v>9</v>
      </c>
      <c r="R66" s="270">
        <v>360000</v>
      </c>
      <c r="S66" s="54">
        <f t="shared" si="3"/>
        <v>3240000</v>
      </c>
      <c r="T66" s="253"/>
    </row>
    <row r="67" spans="1:20" s="31" customFormat="1" x14ac:dyDescent="0.3">
      <c r="A67" s="61">
        <f t="shared" si="5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33"/>
      <c r="O67" s="162">
        <f t="shared" si="6"/>
        <v>0</v>
      </c>
      <c r="P67" s="163">
        <f t="shared" si="7"/>
        <v>0</v>
      </c>
      <c r="Q67" s="273">
        <f t="shared" si="2"/>
        <v>0</v>
      </c>
      <c r="R67" s="270">
        <v>260000</v>
      </c>
      <c r="S67" s="54">
        <f t="shared" si="3"/>
        <v>0</v>
      </c>
      <c r="T67" s="253"/>
    </row>
    <row r="68" spans="1:20" s="31" customFormat="1" x14ac:dyDescent="0.3">
      <c r="A68" s="61">
        <f t="shared" si="5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33"/>
      <c r="O68" s="162">
        <f t="shared" ref="O68:O77" si="8">COUNTIF(E68:N68,"X")</f>
        <v>0</v>
      </c>
      <c r="P68" s="163">
        <f t="shared" si="7"/>
        <v>0</v>
      </c>
      <c r="Q68" s="273">
        <f t="shared" ref="Q68:Q75" si="9">SUM(O68:P68)</f>
        <v>0</v>
      </c>
      <c r="R68" s="270">
        <v>260000</v>
      </c>
      <c r="S68" s="54">
        <f t="shared" ref="S68:S76" si="10">Q68*R68</f>
        <v>0</v>
      </c>
      <c r="T68" s="253"/>
    </row>
    <row r="69" spans="1:20" s="31" customFormat="1" x14ac:dyDescent="0.3">
      <c r="A69" s="61">
        <f t="shared" si="5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33"/>
      <c r="O69" s="162">
        <f t="shared" si="8"/>
        <v>0</v>
      </c>
      <c r="P69" s="163">
        <f t="shared" ref="P69:P77" si="11">COUNTIF(E69:N69,"X/2")/2</f>
        <v>0</v>
      </c>
      <c r="Q69" s="273">
        <f t="shared" si="9"/>
        <v>0</v>
      </c>
      <c r="R69" s="270">
        <v>270000</v>
      </c>
      <c r="S69" s="54">
        <f t="shared" si="10"/>
        <v>0</v>
      </c>
      <c r="T69" s="253"/>
    </row>
    <row r="70" spans="1:20" s="31" customFormat="1" x14ac:dyDescent="0.3">
      <c r="A70" s="61">
        <f t="shared" si="5"/>
        <v>67</v>
      </c>
      <c r="B70" s="116" t="s">
        <v>371</v>
      </c>
      <c r="C70" s="116"/>
      <c r="D70" s="205" t="s">
        <v>4</v>
      </c>
      <c r="E70" s="127" t="s">
        <v>9</v>
      </c>
      <c r="F70" s="32" t="s">
        <v>9</v>
      </c>
      <c r="G70" s="32" t="s">
        <v>9</v>
      </c>
      <c r="H70" s="36" t="s">
        <v>9</v>
      </c>
      <c r="I70" s="32" t="s">
        <v>9</v>
      </c>
      <c r="J70" s="32" t="s">
        <v>9</v>
      </c>
      <c r="K70" s="211" t="s">
        <v>9</v>
      </c>
      <c r="L70" s="211" t="s">
        <v>9</v>
      </c>
      <c r="M70" s="211" t="s">
        <v>9</v>
      </c>
      <c r="N70" s="33"/>
      <c r="O70" s="162">
        <f t="shared" si="8"/>
        <v>9</v>
      </c>
      <c r="P70" s="163">
        <f t="shared" si="11"/>
        <v>0</v>
      </c>
      <c r="Q70" s="273">
        <f t="shared" si="9"/>
        <v>9</v>
      </c>
      <c r="R70" s="270">
        <v>360000</v>
      </c>
      <c r="S70" s="54">
        <f t="shared" si="10"/>
        <v>3240000</v>
      </c>
      <c r="T70" s="253"/>
    </row>
    <row r="71" spans="1:20" s="31" customFormat="1" x14ac:dyDescent="0.3">
      <c r="A71" s="61">
        <f t="shared" ref="A71:A77" si="12">A70+1</f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/>
      <c r="L71" s="211"/>
      <c r="M71" s="211"/>
      <c r="N71" s="33"/>
      <c r="O71" s="162">
        <f t="shared" si="8"/>
        <v>0</v>
      </c>
      <c r="P71" s="163">
        <f t="shared" si="11"/>
        <v>0</v>
      </c>
      <c r="Q71" s="273">
        <f t="shared" si="9"/>
        <v>0</v>
      </c>
      <c r="R71" s="270">
        <v>360000</v>
      </c>
      <c r="S71" s="54">
        <f t="shared" si="10"/>
        <v>0</v>
      </c>
      <c r="T71" s="253"/>
    </row>
    <row r="72" spans="1:20" s="31" customFormat="1" x14ac:dyDescent="0.3">
      <c r="A72" s="61">
        <f t="shared" si="12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33"/>
      <c r="O72" s="162">
        <f t="shared" si="8"/>
        <v>0</v>
      </c>
      <c r="P72" s="163">
        <f t="shared" si="11"/>
        <v>0</v>
      </c>
      <c r="Q72" s="273">
        <f t="shared" si="9"/>
        <v>0</v>
      </c>
      <c r="R72" s="270">
        <v>260000</v>
      </c>
      <c r="S72" s="54">
        <f t="shared" si="10"/>
        <v>0</v>
      </c>
      <c r="T72" s="253"/>
    </row>
    <row r="73" spans="1:20" s="31" customFormat="1" x14ac:dyDescent="0.3">
      <c r="A73" s="61">
        <f t="shared" si="12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33"/>
      <c r="O73" s="162">
        <f t="shared" si="8"/>
        <v>0</v>
      </c>
      <c r="P73" s="163">
        <f t="shared" si="11"/>
        <v>0</v>
      </c>
      <c r="Q73" s="273">
        <f t="shared" si="9"/>
        <v>0</v>
      </c>
      <c r="R73" s="270">
        <v>360000</v>
      </c>
      <c r="S73" s="54">
        <f t="shared" si="10"/>
        <v>0</v>
      </c>
      <c r="T73" s="253"/>
    </row>
    <row r="74" spans="1:20" s="31" customFormat="1" x14ac:dyDescent="0.3">
      <c r="A74" s="61">
        <f t="shared" si="12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33"/>
      <c r="O74" s="162">
        <f t="shared" si="8"/>
        <v>0</v>
      </c>
      <c r="P74" s="163">
        <f t="shared" si="11"/>
        <v>0</v>
      </c>
      <c r="Q74" s="273">
        <f t="shared" si="9"/>
        <v>0</v>
      </c>
      <c r="R74" s="270">
        <v>260000</v>
      </c>
      <c r="S74" s="54">
        <f t="shared" si="10"/>
        <v>0</v>
      </c>
      <c r="T74" s="253"/>
    </row>
    <row r="75" spans="1:20" s="31" customFormat="1" x14ac:dyDescent="0.3">
      <c r="A75" s="61">
        <f t="shared" si="12"/>
        <v>72</v>
      </c>
      <c r="B75" s="159" t="s">
        <v>376</v>
      </c>
      <c r="C75" s="159"/>
      <c r="D75" s="206" t="s">
        <v>5</v>
      </c>
      <c r="E75" s="127"/>
      <c r="F75" s="32"/>
      <c r="G75" s="32"/>
      <c r="H75" s="36"/>
      <c r="I75" s="227"/>
      <c r="J75" s="227"/>
      <c r="K75" s="229"/>
      <c r="L75" s="229"/>
      <c r="M75" s="229"/>
      <c r="N75" s="323"/>
      <c r="O75" s="162">
        <f t="shared" si="8"/>
        <v>0</v>
      </c>
      <c r="P75" s="163">
        <f t="shared" si="11"/>
        <v>0</v>
      </c>
      <c r="Q75" s="273">
        <f t="shared" si="9"/>
        <v>0</v>
      </c>
      <c r="R75" s="270">
        <v>260000</v>
      </c>
      <c r="S75" s="54">
        <f t="shared" si="10"/>
        <v>0</v>
      </c>
      <c r="T75" s="255"/>
    </row>
    <row r="76" spans="1:20" s="289" customFormat="1" x14ac:dyDescent="0.3">
      <c r="A76" s="276">
        <f t="shared" si="12"/>
        <v>73</v>
      </c>
      <c r="B76" s="115" t="s">
        <v>386</v>
      </c>
      <c r="C76" s="115"/>
      <c r="D76" s="300" t="s">
        <v>4</v>
      </c>
      <c r="E76" s="305"/>
      <c r="F76" s="146"/>
      <c r="G76" s="146" t="s">
        <v>9</v>
      </c>
      <c r="H76" s="146" t="s">
        <v>8</v>
      </c>
      <c r="I76" s="146" t="s">
        <v>9</v>
      </c>
      <c r="J76" s="146" t="s">
        <v>8</v>
      </c>
      <c r="K76" s="146" t="s">
        <v>8</v>
      </c>
      <c r="L76" s="146" t="s">
        <v>9</v>
      </c>
      <c r="M76" s="146" t="s">
        <v>9</v>
      </c>
      <c r="N76" s="321" t="s">
        <v>9</v>
      </c>
      <c r="O76" s="339">
        <f t="shared" si="8"/>
        <v>5</v>
      </c>
      <c r="P76" s="304">
        <f t="shared" si="11"/>
        <v>1.5</v>
      </c>
      <c r="Q76" s="285">
        <f t="shared" ref="Q76:Q77" si="13">SUM(O76:P76)</f>
        <v>6.5</v>
      </c>
      <c r="R76" s="301">
        <v>400000</v>
      </c>
      <c r="S76" s="287">
        <f t="shared" si="10"/>
        <v>2600000</v>
      </c>
      <c r="T76" s="293">
        <v>2500000</v>
      </c>
    </row>
    <row r="77" spans="1:20" s="55" customFormat="1" x14ac:dyDescent="0.3">
      <c r="A77" s="294">
        <f t="shared" si="12"/>
        <v>74</v>
      </c>
      <c r="B77" s="29" t="s">
        <v>387</v>
      </c>
      <c r="C77" s="29"/>
      <c r="D77" s="210" t="s">
        <v>5</v>
      </c>
      <c r="E77" s="233"/>
      <c r="F77" s="21"/>
      <c r="G77" s="21"/>
      <c r="H77" s="21"/>
      <c r="I77" s="21"/>
      <c r="J77" s="21"/>
      <c r="K77" s="21" t="s">
        <v>9</v>
      </c>
      <c r="L77" s="21" t="s">
        <v>9</v>
      </c>
      <c r="M77" s="21" t="s">
        <v>9</v>
      </c>
      <c r="N77" s="25"/>
      <c r="O77" s="51">
        <f t="shared" si="8"/>
        <v>3</v>
      </c>
      <c r="P77" s="78">
        <f t="shared" si="11"/>
        <v>0</v>
      </c>
      <c r="Q77" s="273">
        <f t="shared" si="13"/>
        <v>3</v>
      </c>
      <c r="R77" s="269">
        <v>270000</v>
      </c>
      <c r="S77" s="77">
        <f t="shared" ref="S77" si="14">Q77*R77</f>
        <v>810000</v>
      </c>
      <c r="T77" s="314"/>
    </row>
    <row r="78" spans="1:20" s="55" customFormat="1" x14ac:dyDescent="0.3">
      <c r="A78" s="317"/>
      <c r="B78" s="29"/>
      <c r="C78" s="29"/>
      <c r="D78" s="210"/>
      <c r="E78" s="233"/>
      <c r="F78" s="21"/>
      <c r="G78" s="21"/>
      <c r="H78" s="21"/>
      <c r="I78" s="21"/>
      <c r="J78" s="21"/>
      <c r="K78" s="21"/>
      <c r="L78" s="21"/>
      <c r="M78" s="21"/>
      <c r="N78" s="25"/>
      <c r="O78" s="51"/>
      <c r="P78" s="78"/>
      <c r="Q78" s="273"/>
      <c r="R78" s="269"/>
      <c r="S78" s="77"/>
      <c r="T78" s="314"/>
    </row>
    <row r="79" spans="1:20" s="55" customFormat="1" x14ac:dyDescent="0.3">
      <c r="A79" s="317"/>
      <c r="B79" s="29"/>
      <c r="C79" s="29"/>
      <c r="D79" s="210"/>
      <c r="E79" s="233"/>
      <c r="F79" s="21"/>
      <c r="G79" s="21"/>
      <c r="H79" s="21"/>
      <c r="I79" s="21"/>
      <c r="J79" s="21"/>
      <c r="K79" s="21"/>
      <c r="L79" s="21"/>
      <c r="M79" s="21"/>
      <c r="N79" s="25"/>
      <c r="O79" s="51"/>
      <c r="P79" s="78"/>
      <c r="Q79" s="273"/>
      <c r="R79" s="269"/>
      <c r="S79" s="77"/>
      <c r="T79" s="314"/>
    </row>
    <row r="80" spans="1:20" s="55" customFormat="1" ht="16.2" thickBot="1" x14ac:dyDescent="0.35">
      <c r="A80" s="324"/>
      <c r="B80" s="306"/>
      <c r="C80" s="307"/>
      <c r="D80" s="308"/>
      <c r="E80" s="309"/>
      <c r="F80" s="310"/>
      <c r="G80" s="311"/>
      <c r="H80" s="310"/>
      <c r="I80" s="311"/>
      <c r="J80" s="311"/>
      <c r="K80" s="312"/>
      <c r="L80" s="312"/>
      <c r="M80" s="312"/>
      <c r="N80" s="325"/>
      <c r="O80" s="319"/>
      <c r="P80" s="315"/>
      <c r="Q80" s="326"/>
      <c r="R80" s="313"/>
      <c r="S80" s="316"/>
      <c r="T80" s="314"/>
    </row>
    <row r="81" spans="1:21" s="31" customFormat="1" ht="16.2" thickBot="1" x14ac:dyDescent="0.35">
      <c r="A81" s="327"/>
      <c r="B81" s="328"/>
      <c r="C81" s="329"/>
      <c r="D81" s="330"/>
      <c r="E81" s="331">
        <f t="shared" ref="E81:O81" si="15">SUBTOTAL(103,E4:E75)</f>
        <v>34</v>
      </c>
      <c r="F81" s="332">
        <f t="shared" si="15"/>
        <v>36</v>
      </c>
      <c r="G81" s="333">
        <f t="shared" si="15"/>
        <v>35</v>
      </c>
      <c r="H81" s="332">
        <f t="shared" si="15"/>
        <v>31</v>
      </c>
      <c r="I81" s="333">
        <f t="shared" si="15"/>
        <v>32</v>
      </c>
      <c r="J81" s="333">
        <f t="shared" si="15"/>
        <v>22</v>
      </c>
      <c r="K81" s="333">
        <f t="shared" si="15"/>
        <v>32</v>
      </c>
      <c r="L81" s="333">
        <f t="shared" si="15"/>
        <v>34</v>
      </c>
      <c r="M81" s="333">
        <f t="shared" si="15"/>
        <v>29</v>
      </c>
      <c r="N81" s="334">
        <f t="shared" si="15"/>
        <v>4</v>
      </c>
      <c r="O81" s="332">
        <f t="shared" si="15"/>
        <v>72</v>
      </c>
      <c r="P81" s="335">
        <f>SUBTOTAL(103,P4:P27)</f>
        <v>24</v>
      </c>
      <c r="Q81" s="336">
        <f>SUBTOTAL(103,Q4:Q27)</f>
        <v>24</v>
      </c>
      <c r="R81" s="332">
        <f>SUBTOTAL(103,R4:R80)</f>
        <v>74</v>
      </c>
      <c r="S81" s="337">
        <f>SUBTOTAL(109,S4:S77)</f>
        <v>103600000</v>
      </c>
      <c r="T81" s="338">
        <f>SUBTOTAL(109,T4:T80)</f>
        <v>7800000</v>
      </c>
      <c r="U81" s="208"/>
    </row>
    <row r="82" spans="1:21" x14ac:dyDescent="0.3">
      <c r="S82" s="76"/>
      <c r="T82" s="248">
        <f>S81-T81</f>
        <v>95800000</v>
      </c>
    </row>
    <row r="83" spans="1:21" x14ac:dyDescent="0.3">
      <c r="S83" s="76"/>
      <c r="T83" s="76">
        <f>T82-S82</f>
        <v>95800000</v>
      </c>
    </row>
    <row r="84" spans="1:21" x14ac:dyDescent="0.3">
      <c r="S84" s="76"/>
    </row>
  </sheetData>
  <autoFilter ref="A3:U77"/>
  <mergeCells count="10">
    <mergeCell ref="Q2:Q3"/>
    <mergeCell ref="R2:R3"/>
    <mergeCell ref="S2:S3"/>
    <mergeCell ref="T2:T3"/>
    <mergeCell ref="A2:A3"/>
    <mergeCell ref="B2:B3"/>
    <mergeCell ref="C2:C3"/>
    <mergeCell ref="D2:D3"/>
    <mergeCell ref="O2:O3"/>
    <mergeCell ref="P2:P3"/>
  </mergeCells>
  <conditionalFormatting sqref="E81:N81">
    <cfRule type="expression" dxfId="7" priority="1">
      <formula>IF(E$3="cn",1,0)</formula>
    </cfRule>
  </conditionalFormatting>
  <pageMargins left="0.31" right="0.2" top="0.25" bottom="0.23" header="0.2" footer="0.2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8"/>
  <sheetViews>
    <sheetView workbookViewId="0">
      <selection sqref="A1:XFD1048576"/>
    </sheetView>
  </sheetViews>
  <sheetFormatPr defaultRowHeight="15.6" x14ac:dyDescent="0.3"/>
  <cols>
    <col min="1" max="1" width="3.5546875" style="62" customWidth="1"/>
    <col min="2" max="2" width="19.5546875" style="1" customWidth="1"/>
    <col min="3" max="3" width="27.21875" style="1" hidden="1" customWidth="1"/>
    <col min="4" max="4" width="7.77734375" style="3" customWidth="1"/>
    <col min="5" max="5" width="3.77734375" style="129" hidden="1" customWidth="1"/>
    <col min="6" max="7" width="3.77734375" style="129" customWidth="1"/>
    <col min="8" max="14" width="3.77734375" style="176" customWidth="1"/>
    <col min="15" max="15" width="6.21875" style="176" hidden="1" customWidth="1"/>
    <col min="16" max="16" width="6.6640625" style="176" hidden="1" customWidth="1"/>
    <col min="17" max="17" width="6.21875" style="176" customWidth="1"/>
    <col min="18" max="18" width="10.88671875" style="1" customWidth="1"/>
    <col min="19" max="19" width="13.109375" style="1" customWidth="1"/>
    <col min="20" max="20" width="12.5546875" style="1" customWidth="1"/>
    <col min="21" max="21" width="22" style="1" customWidth="1"/>
    <col min="22" max="16384" width="8.88671875" style="1"/>
  </cols>
  <sheetData>
    <row r="1" spans="1:21" ht="27.6" customHeight="1" thickBot="1" x14ac:dyDescent="0.35">
      <c r="A1" s="154" t="s">
        <v>393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73"/>
      <c r="R1" s="173"/>
      <c r="S1" s="173"/>
      <c r="T1" s="173"/>
    </row>
    <row r="2" spans="1:21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1</v>
      </c>
      <c r="F2" s="23">
        <f t="shared" ref="F2:N2" si="0">E2+1</f>
        <v>2</v>
      </c>
      <c r="G2" s="23">
        <f t="shared" si="0"/>
        <v>3</v>
      </c>
      <c r="H2" s="23">
        <f t="shared" si="0"/>
        <v>4</v>
      </c>
      <c r="I2" s="23">
        <f t="shared" si="0"/>
        <v>5</v>
      </c>
      <c r="J2" s="23">
        <f t="shared" si="0"/>
        <v>6</v>
      </c>
      <c r="K2" s="23">
        <f t="shared" si="0"/>
        <v>7</v>
      </c>
      <c r="L2" s="23">
        <f t="shared" si="0"/>
        <v>8</v>
      </c>
      <c r="M2" s="23">
        <f t="shared" si="0"/>
        <v>9</v>
      </c>
      <c r="N2" s="24">
        <f t="shared" si="0"/>
        <v>10</v>
      </c>
      <c r="O2" s="420" t="s">
        <v>6</v>
      </c>
      <c r="P2" s="422" t="s">
        <v>7</v>
      </c>
      <c r="Q2" s="436" t="s">
        <v>357</v>
      </c>
      <c r="R2" s="438" t="s">
        <v>30</v>
      </c>
      <c r="S2" s="428" t="s">
        <v>33</v>
      </c>
      <c r="T2" s="430" t="s">
        <v>127</v>
      </c>
    </row>
    <row r="3" spans="1:21" s="3" customFormat="1" ht="16.2" thickBot="1" x14ac:dyDescent="0.35">
      <c r="A3" s="415"/>
      <c r="B3" s="417"/>
      <c r="C3" s="417"/>
      <c r="D3" s="425"/>
      <c r="E3" s="125" t="s">
        <v>98</v>
      </c>
      <c r="F3" s="213" t="s">
        <v>99</v>
      </c>
      <c r="G3" s="213" t="s">
        <v>93</v>
      </c>
      <c r="H3" s="207" t="s">
        <v>94</v>
      </c>
      <c r="I3" s="213" t="s">
        <v>95</v>
      </c>
      <c r="J3" s="213" t="s">
        <v>97</v>
      </c>
      <c r="K3" s="213" t="s">
        <v>96</v>
      </c>
      <c r="L3" s="207" t="s">
        <v>98</v>
      </c>
      <c r="M3" s="213" t="s">
        <v>99</v>
      </c>
      <c r="N3" s="207" t="s">
        <v>93</v>
      </c>
      <c r="O3" s="421"/>
      <c r="P3" s="423"/>
      <c r="Q3" s="437"/>
      <c r="R3" s="439"/>
      <c r="S3" s="440"/>
      <c r="T3" s="441"/>
    </row>
    <row r="4" spans="1:21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263"/>
      <c r="F4" s="264" t="s">
        <v>9</v>
      </c>
      <c r="G4" s="264" t="s">
        <v>9</v>
      </c>
      <c r="H4" s="265" t="s">
        <v>9</v>
      </c>
      <c r="I4" s="264" t="s">
        <v>9</v>
      </c>
      <c r="J4" s="264" t="s">
        <v>9</v>
      </c>
      <c r="K4" s="266" t="s">
        <v>9</v>
      </c>
      <c r="L4" s="266" t="s">
        <v>9</v>
      </c>
      <c r="M4" s="266" t="s">
        <v>9</v>
      </c>
      <c r="N4" s="320" t="s">
        <v>9</v>
      </c>
      <c r="O4" s="122">
        <f t="shared" ref="O4:O67" si="1">COUNTIF(E4:N4,"X")</f>
        <v>9</v>
      </c>
      <c r="P4" s="123">
        <f>COUNTIF(E4:I4,"X/2")/2</f>
        <v>0</v>
      </c>
      <c r="Q4" s="272">
        <f t="shared" ref="Q4:Q67" si="2">SUM(O4:P4)</f>
        <v>9</v>
      </c>
      <c r="R4" s="268">
        <v>550000</v>
      </c>
      <c r="S4" s="88">
        <f t="shared" ref="S4:S67" si="3">Q4*R4</f>
        <v>4950000</v>
      </c>
      <c r="T4" s="367">
        <v>1500000</v>
      </c>
      <c r="U4" s="31"/>
    </row>
    <row r="5" spans="1:21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 t="s">
        <v>9</v>
      </c>
      <c r="G5" s="21" t="s">
        <v>9</v>
      </c>
      <c r="H5" s="35" t="s">
        <v>9</v>
      </c>
      <c r="I5" s="21" t="s">
        <v>9</v>
      </c>
      <c r="J5" s="21" t="s">
        <v>9</v>
      </c>
      <c r="K5" s="210" t="s">
        <v>9</v>
      </c>
      <c r="L5" s="210" t="s">
        <v>9</v>
      </c>
      <c r="M5" s="210" t="s">
        <v>9</v>
      </c>
      <c r="N5" s="25" t="s">
        <v>9</v>
      </c>
      <c r="O5" s="51">
        <f t="shared" si="1"/>
        <v>9</v>
      </c>
      <c r="P5" s="78">
        <f t="shared" ref="P5:P68" si="4">COUNTIF(E5:N5,"X/2")/2</f>
        <v>0</v>
      </c>
      <c r="Q5" s="273">
        <f t="shared" si="2"/>
        <v>9</v>
      </c>
      <c r="R5" s="269">
        <v>380000</v>
      </c>
      <c r="S5" s="77">
        <f t="shared" si="3"/>
        <v>3420000</v>
      </c>
      <c r="T5" s="355"/>
    </row>
    <row r="6" spans="1:21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/>
      <c r="F6" s="21" t="s">
        <v>9</v>
      </c>
      <c r="G6" s="21"/>
      <c r="H6" s="35" t="s">
        <v>9</v>
      </c>
      <c r="I6" s="21" t="s">
        <v>9</v>
      </c>
      <c r="J6" s="21" t="s">
        <v>9</v>
      </c>
      <c r="K6" s="210" t="s">
        <v>9</v>
      </c>
      <c r="L6" s="210"/>
      <c r="M6" s="210"/>
      <c r="N6" s="25"/>
      <c r="O6" s="51">
        <f t="shared" si="1"/>
        <v>5</v>
      </c>
      <c r="P6" s="78">
        <f t="shared" si="4"/>
        <v>0</v>
      </c>
      <c r="Q6" s="273">
        <f t="shared" si="2"/>
        <v>5</v>
      </c>
      <c r="R6" s="269">
        <v>370000</v>
      </c>
      <c r="S6" s="77">
        <f t="shared" si="3"/>
        <v>1850000</v>
      </c>
      <c r="T6" s="355"/>
    </row>
    <row r="7" spans="1:21" s="31" customFormat="1" x14ac:dyDescent="0.3">
      <c r="A7" s="61">
        <f t="shared" ref="A7:A70" si="5">A6+1</f>
        <v>4</v>
      </c>
      <c r="B7" s="28" t="s">
        <v>37</v>
      </c>
      <c r="C7" s="48" t="s">
        <v>60</v>
      </c>
      <c r="D7" s="202" t="s">
        <v>4</v>
      </c>
      <c r="E7" s="41"/>
      <c r="F7" s="21" t="s">
        <v>9</v>
      </c>
      <c r="G7" s="21"/>
      <c r="H7" s="35"/>
      <c r="I7" s="21" t="s">
        <v>9</v>
      </c>
      <c r="J7" s="21" t="s">
        <v>9</v>
      </c>
      <c r="K7" s="210"/>
      <c r="L7" s="210" t="s">
        <v>9</v>
      </c>
      <c r="M7" s="210" t="s">
        <v>9</v>
      </c>
      <c r="N7" s="25"/>
      <c r="O7" s="51">
        <f t="shared" si="1"/>
        <v>5</v>
      </c>
      <c r="P7" s="78">
        <f t="shared" si="4"/>
        <v>0</v>
      </c>
      <c r="Q7" s="273">
        <f t="shared" si="2"/>
        <v>5</v>
      </c>
      <c r="R7" s="269">
        <v>370000</v>
      </c>
      <c r="S7" s="77">
        <f t="shared" si="3"/>
        <v>1850000</v>
      </c>
      <c r="T7" s="356"/>
    </row>
    <row r="8" spans="1:21" s="31" customFormat="1" x14ac:dyDescent="0.3">
      <c r="A8" s="61">
        <f t="shared" si="5"/>
        <v>5</v>
      </c>
      <c r="B8" s="28" t="s">
        <v>38</v>
      </c>
      <c r="C8" s="48" t="s">
        <v>80</v>
      </c>
      <c r="D8" s="202" t="s">
        <v>17</v>
      </c>
      <c r="E8" s="41"/>
      <c r="F8" s="21" t="s">
        <v>9</v>
      </c>
      <c r="G8" s="21" t="s">
        <v>9</v>
      </c>
      <c r="H8" s="35" t="s">
        <v>9</v>
      </c>
      <c r="I8" s="21" t="s">
        <v>9</v>
      </c>
      <c r="J8" s="21" t="s">
        <v>9</v>
      </c>
      <c r="K8" s="210"/>
      <c r="L8" s="210"/>
      <c r="M8" s="210" t="s">
        <v>9</v>
      </c>
      <c r="N8" s="25" t="s">
        <v>9</v>
      </c>
      <c r="O8" s="51">
        <f t="shared" si="1"/>
        <v>7</v>
      </c>
      <c r="P8" s="78">
        <f t="shared" si="4"/>
        <v>0</v>
      </c>
      <c r="Q8" s="273">
        <f t="shared" si="2"/>
        <v>7</v>
      </c>
      <c r="R8" s="269">
        <v>350000</v>
      </c>
      <c r="S8" s="77">
        <f t="shared" si="3"/>
        <v>2450000</v>
      </c>
      <c r="T8" s="355"/>
    </row>
    <row r="9" spans="1:21" s="289" customFormat="1" x14ac:dyDescent="0.3">
      <c r="A9" s="276">
        <f t="shared" si="5"/>
        <v>6</v>
      </c>
      <c r="B9" s="296" t="s">
        <v>145</v>
      </c>
      <c r="C9" s="115" t="s">
        <v>60</v>
      </c>
      <c r="D9" s="297" t="s">
        <v>5</v>
      </c>
      <c r="E9" s="298"/>
      <c r="F9" s="146"/>
      <c r="G9" s="146" t="s">
        <v>9</v>
      </c>
      <c r="H9" s="299" t="s">
        <v>9</v>
      </c>
      <c r="I9" s="146" t="s">
        <v>9</v>
      </c>
      <c r="J9" s="146" t="s">
        <v>9</v>
      </c>
      <c r="K9" s="300" t="s">
        <v>9</v>
      </c>
      <c r="L9" s="300" t="s">
        <v>9</v>
      </c>
      <c r="M9" s="300" t="s">
        <v>9</v>
      </c>
      <c r="N9" s="321" t="s">
        <v>9</v>
      </c>
      <c r="O9" s="318">
        <f t="shared" si="1"/>
        <v>8</v>
      </c>
      <c r="P9" s="284">
        <f t="shared" si="4"/>
        <v>0</v>
      </c>
      <c r="Q9" s="285">
        <f t="shared" si="2"/>
        <v>8</v>
      </c>
      <c r="R9" s="301">
        <v>350000</v>
      </c>
      <c r="S9" s="302">
        <f t="shared" si="3"/>
        <v>2800000</v>
      </c>
      <c r="T9" s="357">
        <v>350000</v>
      </c>
    </row>
    <row r="10" spans="1:21" s="31" customFormat="1" x14ac:dyDescent="0.3">
      <c r="A10" s="61">
        <f t="shared" si="5"/>
        <v>7</v>
      </c>
      <c r="B10" s="28" t="s">
        <v>34</v>
      </c>
      <c r="C10" s="48" t="s">
        <v>80</v>
      </c>
      <c r="D10" s="202" t="s">
        <v>5</v>
      </c>
      <c r="E10" s="41"/>
      <c r="F10" s="21" t="s">
        <v>9</v>
      </c>
      <c r="G10" s="21" t="s">
        <v>9</v>
      </c>
      <c r="H10" s="35" t="s">
        <v>9</v>
      </c>
      <c r="I10" s="21" t="s">
        <v>9</v>
      </c>
      <c r="J10" s="21" t="s">
        <v>9</v>
      </c>
      <c r="K10" s="210" t="s">
        <v>9</v>
      </c>
      <c r="L10" s="210" t="s">
        <v>9</v>
      </c>
      <c r="M10" s="210" t="s">
        <v>9</v>
      </c>
      <c r="N10" s="25" t="s">
        <v>9</v>
      </c>
      <c r="O10" s="51">
        <f t="shared" si="1"/>
        <v>9</v>
      </c>
      <c r="P10" s="78">
        <f t="shared" si="4"/>
        <v>0</v>
      </c>
      <c r="Q10" s="273">
        <f t="shared" si="2"/>
        <v>9</v>
      </c>
      <c r="R10" s="269">
        <v>300000</v>
      </c>
      <c r="S10" s="77">
        <f t="shared" si="3"/>
        <v>2700000</v>
      </c>
      <c r="T10" s="358"/>
    </row>
    <row r="11" spans="1:21" s="31" customFormat="1" x14ac:dyDescent="0.3">
      <c r="A11" s="61">
        <f t="shared" si="5"/>
        <v>8</v>
      </c>
      <c r="B11" s="28" t="s">
        <v>46</v>
      </c>
      <c r="C11" s="48" t="s">
        <v>60</v>
      </c>
      <c r="D11" s="202" t="s">
        <v>5</v>
      </c>
      <c r="E11" s="41"/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10" t="s">
        <v>9</v>
      </c>
      <c r="N11" s="25" t="s">
        <v>9</v>
      </c>
      <c r="O11" s="51">
        <f t="shared" si="1"/>
        <v>9</v>
      </c>
      <c r="P11" s="78">
        <f t="shared" si="4"/>
        <v>0</v>
      </c>
      <c r="Q11" s="273">
        <f t="shared" si="2"/>
        <v>9</v>
      </c>
      <c r="R11" s="269">
        <v>360000</v>
      </c>
      <c r="S11" s="77">
        <f t="shared" si="3"/>
        <v>3240000</v>
      </c>
      <c r="T11" s="355"/>
    </row>
    <row r="12" spans="1:21" s="31" customFormat="1" x14ac:dyDescent="0.3">
      <c r="A12" s="61">
        <f t="shared" si="5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5"/>
      <c r="O12" s="51">
        <f t="shared" si="1"/>
        <v>0</v>
      </c>
      <c r="P12" s="78">
        <f t="shared" si="4"/>
        <v>0</v>
      </c>
      <c r="Q12" s="273">
        <f t="shared" si="2"/>
        <v>0</v>
      </c>
      <c r="R12" s="269">
        <v>400000</v>
      </c>
      <c r="S12" s="77">
        <f t="shared" si="3"/>
        <v>0</v>
      </c>
      <c r="T12" s="355"/>
    </row>
    <row r="13" spans="1:21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5"/>
      <c r="O13" s="51">
        <f t="shared" si="1"/>
        <v>0</v>
      </c>
      <c r="P13" s="78">
        <f t="shared" si="4"/>
        <v>0</v>
      </c>
      <c r="Q13" s="273">
        <f t="shared" si="2"/>
        <v>0</v>
      </c>
      <c r="R13" s="269">
        <v>280000</v>
      </c>
      <c r="S13" s="77">
        <f t="shared" si="3"/>
        <v>0</v>
      </c>
      <c r="T13" s="355"/>
    </row>
    <row r="14" spans="1:21" s="31" customFormat="1" x14ac:dyDescent="0.3">
      <c r="A14" s="61">
        <f t="shared" si="5"/>
        <v>11</v>
      </c>
      <c r="B14" s="28" t="s">
        <v>41</v>
      </c>
      <c r="C14" s="48" t="s">
        <v>80</v>
      </c>
      <c r="D14" s="202" t="s">
        <v>4</v>
      </c>
      <c r="E14" s="41"/>
      <c r="F14" s="21"/>
      <c r="G14" s="21" t="s">
        <v>9</v>
      </c>
      <c r="H14" s="35" t="s">
        <v>9</v>
      </c>
      <c r="I14" s="21" t="s">
        <v>9</v>
      </c>
      <c r="J14" s="21" t="s">
        <v>9</v>
      </c>
      <c r="K14" s="210" t="s">
        <v>9</v>
      </c>
      <c r="L14" s="210" t="s">
        <v>9</v>
      </c>
      <c r="M14" s="210" t="s">
        <v>9</v>
      </c>
      <c r="N14" s="25" t="s">
        <v>9</v>
      </c>
      <c r="O14" s="51">
        <f t="shared" si="1"/>
        <v>8</v>
      </c>
      <c r="P14" s="78">
        <f t="shared" si="4"/>
        <v>0</v>
      </c>
      <c r="Q14" s="273">
        <f t="shared" si="2"/>
        <v>8</v>
      </c>
      <c r="R14" s="269">
        <v>400000</v>
      </c>
      <c r="S14" s="77">
        <f t="shared" si="3"/>
        <v>3200000</v>
      </c>
      <c r="T14" s="355"/>
    </row>
    <row r="15" spans="1:21" s="31" customFormat="1" x14ac:dyDescent="0.3">
      <c r="A15" s="61">
        <f t="shared" si="5"/>
        <v>12</v>
      </c>
      <c r="B15" s="28" t="s">
        <v>47</v>
      </c>
      <c r="C15" s="48"/>
      <c r="D15" s="202" t="s">
        <v>4</v>
      </c>
      <c r="E15" s="41"/>
      <c r="F15" s="21" t="s">
        <v>9</v>
      </c>
      <c r="G15" s="21" t="s">
        <v>9</v>
      </c>
      <c r="H15" s="35" t="s">
        <v>9</v>
      </c>
      <c r="I15" s="21" t="s">
        <v>9</v>
      </c>
      <c r="J15" s="21" t="s">
        <v>9</v>
      </c>
      <c r="K15" s="210" t="s">
        <v>9</v>
      </c>
      <c r="L15" s="210" t="s">
        <v>9</v>
      </c>
      <c r="M15" s="210" t="s">
        <v>9</v>
      </c>
      <c r="N15" s="25"/>
      <c r="O15" s="51">
        <f t="shared" si="1"/>
        <v>8</v>
      </c>
      <c r="P15" s="78">
        <f t="shared" si="4"/>
        <v>0</v>
      </c>
      <c r="Q15" s="273">
        <f t="shared" si="2"/>
        <v>8</v>
      </c>
      <c r="R15" s="269">
        <v>390000</v>
      </c>
      <c r="S15" s="77">
        <f t="shared" si="3"/>
        <v>3120000</v>
      </c>
      <c r="T15" s="355"/>
    </row>
    <row r="16" spans="1:21" s="31" customFormat="1" x14ac:dyDescent="0.3">
      <c r="A16" s="61">
        <f t="shared" si="5"/>
        <v>13</v>
      </c>
      <c r="B16" s="28" t="s">
        <v>61</v>
      </c>
      <c r="C16" s="48" t="s">
        <v>60</v>
      </c>
      <c r="D16" s="203" t="s">
        <v>4</v>
      </c>
      <c r="E16" s="41"/>
      <c r="F16" s="21" t="s">
        <v>9</v>
      </c>
      <c r="G16" s="21" t="s">
        <v>9</v>
      </c>
      <c r="H16" s="35" t="s">
        <v>9</v>
      </c>
      <c r="I16" s="21" t="s">
        <v>9</v>
      </c>
      <c r="J16" s="21" t="s">
        <v>9</v>
      </c>
      <c r="K16" s="210" t="s">
        <v>9</v>
      </c>
      <c r="L16" s="210" t="s">
        <v>9</v>
      </c>
      <c r="M16" s="210" t="s">
        <v>9</v>
      </c>
      <c r="N16" s="25" t="s">
        <v>9</v>
      </c>
      <c r="O16" s="51">
        <f t="shared" si="1"/>
        <v>9</v>
      </c>
      <c r="P16" s="78">
        <f t="shared" si="4"/>
        <v>0</v>
      </c>
      <c r="Q16" s="273">
        <f t="shared" si="2"/>
        <v>9</v>
      </c>
      <c r="R16" s="270">
        <v>370000</v>
      </c>
      <c r="S16" s="77">
        <f t="shared" si="3"/>
        <v>3330000</v>
      </c>
      <c r="T16" s="355"/>
    </row>
    <row r="17" spans="1:20" s="31" customFormat="1" x14ac:dyDescent="0.3">
      <c r="A17" s="61">
        <f t="shared" si="5"/>
        <v>14</v>
      </c>
      <c r="B17" s="28" t="s">
        <v>62</v>
      </c>
      <c r="C17" s="48"/>
      <c r="D17" s="203" t="s">
        <v>4</v>
      </c>
      <c r="E17" s="41"/>
      <c r="F17" s="21"/>
      <c r="G17" s="21"/>
      <c r="H17" s="35"/>
      <c r="I17" s="21"/>
      <c r="J17" s="21"/>
      <c r="K17" s="210"/>
      <c r="L17" s="210"/>
      <c r="M17" s="210"/>
      <c r="N17" s="25"/>
      <c r="O17" s="51">
        <f t="shared" si="1"/>
        <v>0</v>
      </c>
      <c r="P17" s="78">
        <f t="shared" si="4"/>
        <v>0</v>
      </c>
      <c r="Q17" s="273">
        <f t="shared" si="2"/>
        <v>0</v>
      </c>
      <c r="R17" s="270">
        <v>360000</v>
      </c>
      <c r="S17" s="77">
        <f t="shared" si="3"/>
        <v>0</v>
      </c>
      <c r="T17" s="355"/>
    </row>
    <row r="18" spans="1:20" s="31" customFormat="1" x14ac:dyDescent="0.3">
      <c r="A18" s="61">
        <f t="shared" si="5"/>
        <v>15</v>
      </c>
      <c r="B18" s="28" t="s">
        <v>63</v>
      </c>
      <c r="C18" s="48" t="s">
        <v>60</v>
      </c>
      <c r="D18" s="203" t="s">
        <v>4</v>
      </c>
      <c r="E18" s="41"/>
      <c r="F18" s="21" t="s">
        <v>9</v>
      </c>
      <c r="G18" s="21" t="s">
        <v>9</v>
      </c>
      <c r="H18" s="35" t="s">
        <v>9</v>
      </c>
      <c r="I18" s="21" t="s">
        <v>9</v>
      </c>
      <c r="J18" s="21" t="s">
        <v>9</v>
      </c>
      <c r="K18" s="210" t="s">
        <v>9</v>
      </c>
      <c r="L18" s="210" t="s">
        <v>9</v>
      </c>
      <c r="M18" s="210" t="s">
        <v>9</v>
      </c>
      <c r="N18" s="25" t="s">
        <v>9</v>
      </c>
      <c r="O18" s="51">
        <f t="shared" si="1"/>
        <v>9</v>
      </c>
      <c r="P18" s="78">
        <f t="shared" si="4"/>
        <v>0</v>
      </c>
      <c r="Q18" s="273">
        <f t="shared" si="2"/>
        <v>9</v>
      </c>
      <c r="R18" s="270">
        <v>380000</v>
      </c>
      <c r="S18" s="77">
        <f t="shared" si="3"/>
        <v>3420000</v>
      </c>
      <c r="T18" s="355"/>
    </row>
    <row r="19" spans="1:20" s="31" customFormat="1" x14ac:dyDescent="0.3">
      <c r="A19" s="61">
        <f t="shared" si="5"/>
        <v>16</v>
      </c>
      <c r="B19" s="28" t="s">
        <v>59</v>
      </c>
      <c r="C19" s="48" t="s">
        <v>60</v>
      </c>
      <c r="D19" s="203" t="s">
        <v>5</v>
      </c>
      <c r="E19" s="41"/>
      <c r="F19" s="21"/>
      <c r="G19" s="21"/>
      <c r="H19" s="35"/>
      <c r="I19" s="21"/>
      <c r="J19" s="21"/>
      <c r="K19" s="210"/>
      <c r="L19" s="210"/>
      <c r="M19" s="210"/>
      <c r="N19" s="25"/>
      <c r="O19" s="51">
        <f t="shared" si="1"/>
        <v>0</v>
      </c>
      <c r="P19" s="78">
        <f t="shared" si="4"/>
        <v>0</v>
      </c>
      <c r="Q19" s="273">
        <f t="shared" si="2"/>
        <v>0</v>
      </c>
      <c r="R19" s="270">
        <v>270000</v>
      </c>
      <c r="S19" s="77">
        <f t="shared" si="3"/>
        <v>0</v>
      </c>
      <c r="T19" s="355"/>
    </row>
    <row r="20" spans="1:20" s="31" customFormat="1" x14ac:dyDescent="0.3">
      <c r="A20" s="61">
        <f t="shared" si="5"/>
        <v>17</v>
      </c>
      <c r="B20" s="28" t="s">
        <v>64</v>
      </c>
      <c r="C20" s="48" t="s">
        <v>60</v>
      </c>
      <c r="D20" s="203" t="s">
        <v>4</v>
      </c>
      <c r="E20" s="41"/>
      <c r="F20" s="21" t="s">
        <v>9</v>
      </c>
      <c r="G20" s="21"/>
      <c r="H20" s="35" t="s">
        <v>9</v>
      </c>
      <c r="I20" s="21" t="s">
        <v>9</v>
      </c>
      <c r="J20" s="21" t="s">
        <v>9</v>
      </c>
      <c r="K20" s="210" t="s">
        <v>9</v>
      </c>
      <c r="L20" s="210" t="s">
        <v>9</v>
      </c>
      <c r="M20" s="210" t="s">
        <v>9</v>
      </c>
      <c r="N20" s="25"/>
      <c r="O20" s="51">
        <f t="shared" si="1"/>
        <v>7</v>
      </c>
      <c r="P20" s="78">
        <f t="shared" si="4"/>
        <v>0</v>
      </c>
      <c r="Q20" s="273">
        <f t="shared" si="2"/>
        <v>7</v>
      </c>
      <c r="R20" s="270">
        <v>380000</v>
      </c>
      <c r="S20" s="77">
        <f t="shared" si="3"/>
        <v>2660000</v>
      </c>
      <c r="T20" s="355"/>
    </row>
    <row r="21" spans="1:20" s="55" customFormat="1" x14ac:dyDescent="0.3">
      <c r="A21" s="61">
        <f t="shared" si="5"/>
        <v>18</v>
      </c>
      <c r="B21" s="158" t="s">
        <v>65</v>
      </c>
      <c r="C21" s="29" t="s">
        <v>60</v>
      </c>
      <c r="D21" s="203" t="s">
        <v>4</v>
      </c>
      <c r="E21" s="41"/>
      <c r="F21" s="21" t="s">
        <v>9</v>
      </c>
      <c r="G21" s="21"/>
      <c r="H21" s="35" t="s">
        <v>9</v>
      </c>
      <c r="I21" s="21" t="s">
        <v>9</v>
      </c>
      <c r="J21" s="21" t="s">
        <v>9</v>
      </c>
      <c r="K21" s="210"/>
      <c r="L21" s="210"/>
      <c r="M21" s="210"/>
      <c r="N21" s="25"/>
      <c r="O21" s="51">
        <f t="shared" si="1"/>
        <v>4</v>
      </c>
      <c r="P21" s="78">
        <f t="shared" si="4"/>
        <v>0</v>
      </c>
      <c r="Q21" s="273">
        <f t="shared" si="2"/>
        <v>4</v>
      </c>
      <c r="R21" s="270">
        <v>370000</v>
      </c>
      <c r="S21" s="77">
        <f t="shared" si="3"/>
        <v>1480000</v>
      </c>
      <c r="T21" s="358"/>
    </row>
    <row r="22" spans="1:20" s="31" customFormat="1" x14ac:dyDescent="0.3">
      <c r="A22" s="61">
        <f t="shared" si="5"/>
        <v>19</v>
      </c>
      <c r="B22" s="48" t="s">
        <v>126</v>
      </c>
      <c r="C22" s="48"/>
      <c r="D22" s="204" t="s">
        <v>5</v>
      </c>
      <c r="E22" s="41"/>
      <c r="F22" s="21" t="s">
        <v>9</v>
      </c>
      <c r="G22" s="21" t="s">
        <v>9</v>
      </c>
      <c r="H22" s="35" t="s">
        <v>9</v>
      </c>
      <c r="I22" s="21" t="s">
        <v>9</v>
      </c>
      <c r="J22" s="21" t="s">
        <v>9</v>
      </c>
      <c r="K22" s="210" t="s">
        <v>9</v>
      </c>
      <c r="L22" s="210" t="s">
        <v>9</v>
      </c>
      <c r="M22" s="210" t="s">
        <v>9</v>
      </c>
      <c r="N22" s="25" t="s">
        <v>9</v>
      </c>
      <c r="O22" s="51">
        <f t="shared" si="1"/>
        <v>9</v>
      </c>
      <c r="P22" s="78">
        <f t="shared" si="4"/>
        <v>0</v>
      </c>
      <c r="Q22" s="273">
        <f t="shared" si="2"/>
        <v>9</v>
      </c>
      <c r="R22" s="269">
        <v>280000</v>
      </c>
      <c r="S22" s="77">
        <f t="shared" si="3"/>
        <v>2520000</v>
      </c>
      <c r="T22" s="355"/>
    </row>
    <row r="23" spans="1:20" s="31" customFormat="1" x14ac:dyDescent="0.3">
      <c r="A23" s="61">
        <f t="shared" si="5"/>
        <v>20</v>
      </c>
      <c r="B23" s="116" t="s">
        <v>143</v>
      </c>
      <c r="C23" s="116"/>
      <c r="D23" s="205" t="s">
        <v>4</v>
      </c>
      <c r="E23" s="41"/>
      <c r="F23" s="21" t="s">
        <v>9</v>
      </c>
      <c r="G23" s="21" t="s">
        <v>9</v>
      </c>
      <c r="H23" s="35" t="s">
        <v>9</v>
      </c>
      <c r="I23" s="21" t="s">
        <v>9</v>
      </c>
      <c r="J23" s="21" t="s">
        <v>9</v>
      </c>
      <c r="K23" s="210" t="s">
        <v>9</v>
      </c>
      <c r="L23" s="210" t="s">
        <v>9</v>
      </c>
      <c r="M23" s="210" t="s">
        <v>9</v>
      </c>
      <c r="N23" s="25" t="s">
        <v>9</v>
      </c>
      <c r="O23" s="51">
        <f t="shared" si="1"/>
        <v>9</v>
      </c>
      <c r="P23" s="78">
        <f t="shared" si="4"/>
        <v>0</v>
      </c>
      <c r="Q23" s="273">
        <f t="shared" si="2"/>
        <v>9</v>
      </c>
      <c r="R23" s="270">
        <v>380000</v>
      </c>
      <c r="S23" s="77">
        <f t="shared" si="3"/>
        <v>3420000</v>
      </c>
      <c r="T23" s="359"/>
    </row>
    <row r="24" spans="1:20" s="31" customFormat="1" x14ac:dyDescent="0.3">
      <c r="A24" s="61">
        <f t="shared" si="5"/>
        <v>21</v>
      </c>
      <c r="B24" s="116" t="s">
        <v>144</v>
      </c>
      <c r="C24" s="116"/>
      <c r="D24" s="205" t="s">
        <v>4</v>
      </c>
      <c r="E24" s="41"/>
      <c r="F24" s="21" t="s">
        <v>9</v>
      </c>
      <c r="G24" s="21" t="s">
        <v>9</v>
      </c>
      <c r="H24" s="35" t="s">
        <v>9</v>
      </c>
      <c r="I24" s="21" t="s">
        <v>9</v>
      </c>
      <c r="J24" s="21" t="s">
        <v>9</v>
      </c>
      <c r="K24" s="210" t="s">
        <v>9</v>
      </c>
      <c r="L24" s="210" t="s">
        <v>9</v>
      </c>
      <c r="M24" s="210" t="s">
        <v>9</v>
      </c>
      <c r="N24" s="25" t="s">
        <v>9</v>
      </c>
      <c r="O24" s="51">
        <f t="shared" si="1"/>
        <v>9</v>
      </c>
      <c r="P24" s="78">
        <f t="shared" si="4"/>
        <v>0</v>
      </c>
      <c r="Q24" s="273">
        <f t="shared" si="2"/>
        <v>9</v>
      </c>
      <c r="R24" s="270">
        <v>280000</v>
      </c>
      <c r="S24" s="77">
        <f t="shared" si="3"/>
        <v>2520000</v>
      </c>
      <c r="T24" s="359"/>
    </row>
    <row r="25" spans="1:20" s="31" customFormat="1" x14ac:dyDescent="0.3">
      <c r="A25" s="61">
        <f t="shared" si="5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5"/>
      <c r="O25" s="51">
        <f t="shared" si="1"/>
        <v>0</v>
      </c>
      <c r="P25" s="78">
        <f t="shared" si="4"/>
        <v>0</v>
      </c>
      <c r="Q25" s="273">
        <f t="shared" si="2"/>
        <v>0</v>
      </c>
      <c r="R25" s="270">
        <v>270000</v>
      </c>
      <c r="S25" s="77">
        <f t="shared" si="3"/>
        <v>0</v>
      </c>
      <c r="T25" s="359"/>
    </row>
    <row r="26" spans="1:20" s="31" customFormat="1" x14ac:dyDescent="0.3">
      <c r="A26" s="61">
        <f t="shared" si="5"/>
        <v>23</v>
      </c>
      <c r="B26" s="116" t="s">
        <v>171</v>
      </c>
      <c r="C26" s="116"/>
      <c r="D26" s="205" t="s">
        <v>5</v>
      </c>
      <c r="E26" s="127"/>
      <c r="F26" s="21" t="s">
        <v>9</v>
      </c>
      <c r="G26" s="21" t="s">
        <v>9</v>
      </c>
      <c r="H26" s="35" t="s">
        <v>9</v>
      </c>
      <c r="I26" s="21" t="s">
        <v>9</v>
      </c>
      <c r="J26" s="21" t="s">
        <v>9</v>
      </c>
      <c r="K26" s="210"/>
      <c r="L26" s="210" t="s">
        <v>9</v>
      </c>
      <c r="M26" s="210" t="s">
        <v>9</v>
      </c>
      <c r="N26" s="25" t="s">
        <v>9</v>
      </c>
      <c r="O26" s="51">
        <f t="shared" si="1"/>
        <v>8</v>
      </c>
      <c r="P26" s="78">
        <f t="shared" si="4"/>
        <v>0</v>
      </c>
      <c r="Q26" s="273">
        <f t="shared" si="2"/>
        <v>8</v>
      </c>
      <c r="R26" s="270">
        <v>280000</v>
      </c>
      <c r="S26" s="54">
        <f t="shared" si="3"/>
        <v>2240000</v>
      </c>
      <c r="T26" s="359"/>
    </row>
    <row r="27" spans="1:20" s="31" customFormat="1" x14ac:dyDescent="0.3">
      <c r="A27" s="61">
        <f t="shared" si="5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33"/>
      <c r="O27" s="51">
        <f t="shared" si="1"/>
        <v>0</v>
      </c>
      <c r="P27" s="78">
        <f t="shared" si="4"/>
        <v>0</v>
      </c>
      <c r="Q27" s="273">
        <f t="shared" si="2"/>
        <v>0</v>
      </c>
      <c r="R27" s="270">
        <v>370000</v>
      </c>
      <c r="S27" s="54">
        <f t="shared" si="3"/>
        <v>0</v>
      </c>
      <c r="T27" s="359"/>
    </row>
    <row r="28" spans="1:20" s="289" customFormat="1" x14ac:dyDescent="0.3">
      <c r="A28" s="276">
        <v>25</v>
      </c>
      <c r="B28" s="277" t="s">
        <v>194</v>
      </c>
      <c r="C28" s="277"/>
      <c r="D28" s="278" t="s">
        <v>4</v>
      </c>
      <c r="E28" s="279"/>
      <c r="F28" s="280" t="s">
        <v>9</v>
      </c>
      <c r="G28" s="280" t="s">
        <v>9</v>
      </c>
      <c r="H28" s="281" t="s">
        <v>9</v>
      </c>
      <c r="I28" s="280" t="s">
        <v>9</v>
      </c>
      <c r="J28" s="280" t="s">
        <v>9</v>
      </c>
      <c r="K28" s="282"/>
      <c r="L28" s="282" t="s">
        <v>9</v>
      </c>
      <c r="M28" s="282" t="s">
        <v>9</v>
      </c>
      <c r="N28" s="322"/>
      <c r="O28" s="318">
        <f t="shared" si="1"/>
        <v>7</v>
      </c>
      <c r="P28" s="284">
        <f t="shared" si="4"/>
        <v>0</v>
      </c>
      <c r="Q28" s="285">
        <f t="shared" si="2"/>
        <v>7</v>
      </c>
      <c r="R28" s="286">
        <v>400000</v>
      </c>
      <c r="S28" s="287">
        <f t="shared" si="3"/>
        <v>2800000</v>
      </c>
      <c r="T28" s="360">
        <v>2400000</v>
      </c>
    </row>
    <row r="29" spans="1:20" s="289" customFormat="1" x14ac:dyDescent="0.3">
      <c r="A29" s="276">
        <f t="shared" si="5"/>
        <v>26</v>
      </c>
      <c r="B29" s="277" t="s">
        <v>220</v>
      </c>
      <c r="C29" s="277"/>
      <c r="D29" s="278" t="s">
        <v>4</v>
      </c>
      <c r="E29" s="279"/>
      <c r="F29" s="280" t="s">
        <v>9</v>
      </c>
      <c r="G29" s="280"/>
      <c r="H29" s="281" t="s">
        <v>9</v>
      </c>
      <c r="I29" s="280" t="s">
        <v>9</v>
      </c>
      <c r="J29" s="280" t="s">
        <v>9</v>
      </c>
      <c r="K29" s="282" t="s">
        <v>9</v>
      </c>
      <c r="L29" s="282" t="s">
        <v>9</v>
      </c>
      <c r="M29" s="282"/>
      <c r="N29" s="322" t="s">
        <v>9</v>
      </c>
      <c r="O29" s="318">
        <f t="shared" si="1"/>
        <v>7</v>
      </c>
      <c r="P29" s="284">
        <f t="shared" si="4"/>
        <v>0</v>
      </c>
      <c r="Q29" s="285">
        <f t="shared" si="2"/>
        <v>7</v>
      </c>
      <c r="R29" s="286">
        <v>370000</v>
      </c>
      <c r="S29" s="287">
        <f t="shared" si="3"/>
        <v>2590000</v>
      </c>
      <c r="T29" s="360">
        <v>370000</v>
      </c>
    </row>
    <row r="30" spans="1:20" s="55" customFormat="1" x14ac:dyDescent="0.3">
      <c r="A30" s="294">
        <f t="shared" si="5"/>
        <v>27</v>
      </c>
      <c r="B30" s="159" t="s">
        <v>221</v>
      </c>
      <c r="C30" s="159"/>
      <c r="D30" s="206" t="s">
        <v>4</v>
      </c>
      <c r="E30" s="127"/>
      <c r="F30" s="32"/>
      <c r="G30" s="32"/>
      <c r="H30" s="36"/>
      <c r="I30" s="32"/>
      <c r="J30" s="32"/>
      <c r="K30" s="211"/>
      <c r="L30" s="211"/>
      <c r="M30" s="211"/>
      <c r="N30" s="33"/>
      <c r="O30" s="51">
        <f t="shared" si="1"/>
        <v>0</v>
      </c>
      <c r="P30" s="78">
        <f t="shared" si="4"/>
        <v>0</v>
      </c>
      <c r="Q30" s="273">
        <f t="shared" si="2"/>
        <v>0</v>
      </c>
      <c r="R30" s="270">
        <v>380000</v>
      </c>
      <c r="S30" s="54">
        <f t="shared" si="3"/>
        <v>0</v>
      </c>
      <c r="T30" s="361"/>
    </row>
    <row r="31" spans="1:20" s="31" customFormat="1" x14ac:dyDescent="0.3">
      <c r="A31" s="61">
        <f t="shared" si="5"/>
        <v>28</v>
      </c>
      <c r="B31" s="48" t="s">
        <v>222</v>
      </c>
      <c r="C31" s="48"/>
      <c r="D31" s="204" t="s">
        <v>4</v>
      </c>
      <c r="E31" s="41"/>
      <c r="F31" s="32" t="s">
        <v>9</v>
      </c>
      <c r="G31" s="32" t="s">
        <v>9</v>
      </c>
      <c r="H31" s="36" t="s">
        <v>9</v>
      </c>
      <c r="I31" s="32" t="s">
        <v>9</v>
      </c>
      <c r="J31" s="32" t="s">
        <v>9</v>
      </c>
      <c r="K31" s="211" t="s">
        <v>9</v>
      </c>
      <c r="L31" s="211" t="s">
        <v>9</v>
      </c>
      <c r="M31" s="211" t="s">
        <v>9</v>
      </c>
      <c r="N31" s="33" t="s">
        <v>9</v>
      </c>
      <c r="O31" s="51">
        <f t="shared" si="1"/>
        <v>9</v>
      </c>
      <c r="P31" s="78">
        <f t="shared" si="4"/>
        <v>0</v>
      </c>
      <c r="Q31" s="273">
        <f t="shared" si="2"/>
        <v>9</v>
      </c>
      <c r="R31" s="270">
        <v>360000</v>
      </c>
      <c r="S31" s="54">
        <f t="shared" si="3"/>
        <v>3240000</v>
      </c>
      <c r="T31" s="359"/>
    </row>
    <row r="32" spans="1:20" s="31" customFormat="1" x14ac:dyDescent="0.3">
      <c r="A32" s="61">
        <f t="shared" si="5"/>
        <v>29</v>
      </c>
      <c r="B32" s="116" t="s">
        <v>223</v>
      </c>
      <c r="C32" s="116"/>
      <c r="D32" s="205" t="s">
        <v>5</v>
      </c>
      <c r="E32" s="41"/>
      <c r="F32" s="32"/>
      <c r="G32" s="32"/>
      <c r="H32" s="36"/>
      <c r="I32" s="32"/>
      <c r="J32" s="32"/>
      <c r="K32" s="211"/>
      <c r="L32" s="211"/>
      <c r="M32" s="211"/>
      <c r="N32" s="33"/>
      <c r="O32" s="51">
        <f t="shared" si="1"/>
        <v>0</v>
      </c>
      <c r="P32" s="78">
        <f t="shared" si="4"/>
        <v>0</v>
      </c>
      <c r="Q32" s="273">
        <f t="shared" si="2"/>
        <v>0</v>
      </c>
      <c r="R32" s="270">
        <v>280000</v>
      </c>
      <c r="S32" s="54">
        <f>Q32*R32</f>
        <v>0</v>
      </c>
      <c r="T32" s="359"/>
    </row>
    <row r="33" spans="1:21" s="31" customFormat="1" x14ac:dyDescent="0.3">
      <c r="A33" s="61">
        <f t="shared" si="5"/>
        <v>30</v>
      </c>
      <c r="B33" s="116" t="s">
        <v>224</v>
      </c>
      <c r="C33" s="116"/>
      <c r="D33" s="205" t="s">
        <v>4</v>
      </c>
      <c r="E33" s="127"/>
      <c r="F33" s="32"/>
      <c r="G33" s="32"/>
      <c r="H33" s="36"/>
      <c r="I33" s="32"/>
      <c r="J33" s="32"/>
      <c r="K33" s="211"/>
      <c r="L33" s="211"/>
      <c r="M33" s="211"/>
      <c r="N33" s="33"/>
      <c r="O33" s="51">
        <f t="shared" si="1"/>
        <v>0</v>
      </c>
      <c r="P33" s="78">
        <f t="shared" si="4"/>
        <v>0</v>
      </c>
      <c r="Q33" s="273">
        <f t="shared" si="2"/>
        <v>0</v>
      </c>
      <c r="R33" s="270">
        <v>370000</v>
      </c>
      <c r="S33" s="54">
        <f t="shared" si="3"/>
        <v>0</v>
      </c>
      <c r="T33" s="359"/>
    </row>
    <row r="34" spans="1:21" s="31" customFormat="1" x14ac:dyDescent="0.3">
      <c r="A34" s="61">
        <f t="shared" si="5"/>
        <v>31</v>
      </c>
      <c r="B34" s="116" t="s">
        <v>225</v>
      </c>
      <c r="C34" s="116"/>
      <c r="D34" s="205" t="s">
        <v>5</v>
      </c>
      <c r="E34" s="127"/>
      <c r="F34" s="32"/>
      <c r="G34" s="32"/>
      <c r="H34" s="36"/>
      <c r="I34" s="32"/>
      <c r="J34" s="32"/>
      <c r="K34" s="211"/>
      <c r="L34" s="211"/>
      <c r="M34" s="211"/>
      <c r="N34" s="33"/>
      <c r="O34" s="51">
        <f t="shared" si="1"/>
        <v>0</v>
      </c>
      <c r="P34" s="78">
        <f t="shared" si="4"/>
        <v>0</v>
      </c>
      <c r="Q34" s="273">
        <f t="shared" si="2"/>
        <v>0</v>
      </c>
      <c r="R34" s="270">
        <v>270000</v>
      </c>
      <c r="S34" s="54">
        <f t="shared" si="3"/>
        <v>0</v>
      </c>
      <c r="T34" s="359"/>
    </row>
    <row r="35" spans="1:21" s="31" customFormat="1" x14ac:dyDescent="0.3">
      <c r="A35" s="61">
        <f t="shared" si="5"/>
        <v>32</v>
      </c>
      <c r="B35" s="116" t="s">
        <v>226</v>
      </c>
      <c r="C35" s="116"/>
      <c r="D35" s="205" t="s">
        <v>4</v>
      </c>
      <c r="E35" s="127"/>
      <c r="F35" s="32"/>
      <c r="G35" s="32"/>
      <c r="H35" s="36"/>
      <c r="I35" s="32"/>
      <c r="J35" s="32"/>
      <c r="K35" s="211"/>
      <c r="L35" s="211"/>
      <c r="M35" s="211"/>
      <c r="N35" s="33"/>
      <c r="O35" s="51">
        <f t="shared" si="1"/>
        <v>0</v>
      </c>
      <c r="P35" s="78">
        <f t="shared" si="4"/>
        <v>0</v>
      </c>
      <c r="Q35" s="273">
        <f t="shared" si="2"/>
        <v>0</v>
      </c>
      <c r="R35" s="270">
        <v>360000</v>
      </c>
      <c r="S35" s="54">
        <f t="shared" si="3"/>
        <v>0</v>
      </c>
      <c r="T35" s="359"/>
    </row>
    <row r="36" spans="1:21" s="55" customFormat="1" ht="19.2" customHeight="1" x14ac:dyDescent="0.3">
      <c r="A36" s="294">
        <f t="shared" si="5"/>
        <v>33</v>
      </c>
      <c r="B36" s="159" t="s">
        <v>229</v>
      </c>
      <c r="C36" s="159"/>
      <c r="D36" s="206" t="s">
        <v>5</v>
      </c>
      <c r="E36" s="127"/>
      <c r="F36" s="32" t="s">
        <v>9</v>
      </c>
      <c r="G36" s="32" t="s">
        <v>9</v>
      </c>
      <c r="H36" s="36"/>
      <c r="I36" s="32"/>
      <c r="J36" s="32" t="s">
        <v>9</v>
      </c>
      <c r="K36" s="211" t="s">
        <v>9</v>
      </c>
      <c r="L36" s="211" t="s">
        <v>9</v>
      </c>
      <c r="M36" s="211" t="s">
        <v>9</v>
      </c>
      <c r="N36" s="33"/>
      <c r="O36" s="51">
        <f t="shared" si="1"/>
        <v>6</v>
      </c>
      <c r="P36" s="78">
        <f t="shared" si="4"/>
        <v>0</v>
      </c>
      <c r="Q36" s="273">
        <f t="shared" si="2"/>
        <v>6</v>
      </c>
      <c r="R36" s="270">
        <v>280000</v>
      </c>
      <c r="S36" s="54">
        <f>Q36*R36</f>
        <v>1680000</v>
      </c>
      <c r="T36" s="362"/>
      <c r="U36" s="295"/>
    </row>
    <row r="37" spans="1:21" s="55" customFormat="1" x14ac:dyDescent="0.3">
      <c r="A37" s="61">
        <f t="shared" si="5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33"/>
      <c r="O37" s="51">
        <f t="shared" si="1"/>
        <v>0</v>
      </c>
      <c r="P37" s="78">
        <f t="shared" si="4"/>
        <v>0</v>
      </c>
      <c r="Q37" s="273">
        <f t="shared" si="2"/>
        <v>0</v>
      </c>
      <c r="R37" s="270">
        <v>260000</v>
      </c>
      <c r="S37" s="54">
        <f t="shared" si="3"/>
        <v>0</v>
      </c>
      <c r="T37" s="362"/>
    </row>
    <row r="38" spans="1:21" s="31" customFormat="1" x14ac:dyDescent="0.3">
      <c r="A38" s="61">
        <f t="shared" si="5"/>
        <v>35</v>
      </c>
      <c r="B38" s="116" t="s">
        <v>231</v>
      </c>
      <c r="C38" s="116"/>
      <c r="D38" s="205" t="s">
        <v>4</v>
      </c>
      <c r="E38" s="127"/>
      <c r="F38" s="32" t="s">
        <v>9</v>
      </c>
      <c r="G38" s="32" t="s">
        <v>9</v>
      </c>
      <c r="H38" s="36" t="s">
        <v>9</v>
      </c>
      <c r="I38" s="32" t="s">
        <v>9</v>
      </c>
      <c r="J38" s="32" t="s">
        <v>9</v>
      </c>
      <c r="K38" s="211" t="s">
        <v>9</v>
      </c>
      <c r="L38" s="211" t="s">
        <v>9</v>
      </c>
      <c r="M38" s="211" t="s">
        <v>9</v>
      </c>
      <c r="N38" s="33" t="s">
        <v>9</v>
      </c>
      <c r="O38" s="51">
        <f t="shared" si="1"/>
        <v>9</v>
      </c>
      <c r="P38" s="78">
        <f t="shared" si="4"/>
        <v>0</v>
      </c>
      <c r="Q38" s="273">
        <f t="shared" si="2"/>
        <v>9</v>
      </c>
      <c r="R38" s="270">
        <v>360000</v>
      </c>
      <c r="S38" s="54">
        <f t="shared" si="3"/>
        <v>3240000</v>
      </c>
      <c r="T38" s="359"/>
    </row>
    <row r="39" spans="1:21" s="31" customFormat="1" x14ac:dyDescent="0.3">
      <c r="A39" s="61">
        <f t="shared" si="5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33"/>
      <c r="O39" s="51">
        <f t="shared" si="1"/>
        <v>0</v>
      </c>
      <c r="P39" s="78">
        <f t="shared" si="4"/>
        <v>0</v>
      </c>
      <c r="Q39" s="273">
        <f t="shared" si="2"/>
        <v>0</v>
      </c>
      <c r="R39" s="270">
        <v>360000</v>
      </c>
      <c r="S39" s="54">
        <f t="shared" si="3"/>
        <v>0</v>
      </c>
      <c r="T39" s="359"/>
    </row>
    <row r="40" spans="1:21" s="31" customFormat="1" x14ac:dyDescent="0.3">
      <c r="A40" s="61">
        <f t="shared" si="5"/>
        <v>37</v>
      </c>
      <c r="B40" s="116" t="s">
        <v>233</v>
      </c>
      <c r="C40" s="116"/>
      <c r="D40" s="205" t="s">
        <v>5</v>
      </c>
      <c r="E40" s="127"/>
      <c r="F40" s="32" t="s">
        <v>9</v>
      </c>
      <c r="G40" s="32" t="s">
        <v>9</v>
      </c>
      <c r="H40" s="36" t="s">
        <v>9</v>
      </c>
      <c r="I40" s="32" t="s">
        <v>9</v>
      </c>
      <c r="J40" s="32" t="s">
        <v>9</v>
      </c>
      <c r="K40" s="211"/>
      <c r="L40" s="211" t="s">
        <v>9</v>
      </c>
      <c r="M40" s="211" t="s">
        <v>9</v>
      </c>
      <c r="N40" s="33" t="s">
        <v>9</v>
      </c>
      <c r="O40" s="51">
        <f t="shared" si="1"/>
        <v>8</v>
      </c>
      <c r="P40" s="78">
        <f t="shared" si="4"/>
        <v>0</v>
      </c>
      <c r="Q40" s="273">
        <f t="shared" si="2"/>
        <v>8</v>
      </c>
      <c r="R40" s="270">
        <v>260000</v>
      </c>
      <c r="S40" s="54">
        <f t="shared" si="3"/>
        <v>2080000</v>
      </c>
      <c r="T40" s="359"/>
    </row>
    <row r="41" spans="1:21" s="31" customFormat="1" x14ac:dyDescent="0.3">
      <c r="A41" s="61">
        <f t="shared" si="5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33"/>
      <c r="O41" s="51">
        <f t="shared" si="1"/>
        <v>0</v>
      </c>
      <c r="P41" s="78">
        <f t="shared" si="4"/>
        <v>0</v>
      </c>
      <c r="Q41" s="273">
        <f t="shared" si="2"/>
        <v>0</v>
      </c>
      <c r="R41" s="270">
        <v>370000</v>
      </c>
      <c r="S41" s="54">
        <f t="shared" si="3"/>
        <v>0</v>
      </c>
      <c r="T41" s="359"/>
    </row>
    <row r="42" spans="1:21" s="31" customFormat="1" x14ac:dyDescent="0.3">
      <c r="A42" s="61">
        <f t="shared" si="5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33"/>
      <c r="O42" s="51">
        <f t="shared" si="1"/>
        <v>0</v>
      </c>
      <c r="P42" s="78">
        <f t="shared" si="4"/>
        <v>0</v>
      </c>
      <c r="Q42" s="273">
        <f t="shared" si="2"/>
        <v>0</v>
      </c>
      <c r="R42" s="270">
        <v>270000</v>
      </c>
      <c r="S42" s="54">
        <f t="shared" si="3"/>
        <v>0</v>
      </c>
      <c r="T42" s="359"/>
    </row>
    <row r="43" spans="1:21" s="55" customFormat="1" ht="19.2" customHeight="1" x14ac:dyDescent="0.3">
      <c r="A43" s="294">
        <f t="shared" si="5"/>
        <v>40</v>
      </c>
      <c r="B43" s="159" t="s">
        <v>235</v>
      </c>
      <c r="C43" s="159"/>
      <c r="D43" s="206" t="s">
        <v>4</v>
      </c>
      <c r="E43" s="127"/>
      <c r="F43" s="32" t="s">
        <v>9</v>
      </c>
      <c r="G43" s="32" t="s">
        <v>9</v>
      </c>
      <c r="H43" s="36" t="s">
        <v>9</v>
      </c>
      <c r="I43" s="32" t="s">
        <v>9</v>
      </c>
      <c r="J43" s="32" t="s">
        <v>9</v>
      </c>
      <c r="K43" s="211" t="s">
        <v>9</v>
      </c>
      <c r="L43" s="211" t="s">
        <v>9</v>
      </c>
      <c r="M43" s="211" t="s">
        <v>9</v>
      </c>
      <c r="N43" s="33" t="s">
        <v>9</v>
      </c>
      <c r="O43" s="51">
        <f t="shared" si="1"/>
        <v>9</v>
      </c>
      <c r="P43" s="78">
        <f t="shared" si="4"/>
        <v>0</v>
      </c>
      <c r="Q43" s="273">
        <f t="shared" si="2"/>
        <v>9</v>
      </c>
      <c r="R43" s="270">
        <v>370000</v>
      </c>
      <c r="S43" s="54">
        <f>Q43*R43</f>
        <v>3330000</v>
      </c>
      <c r="T43" s="362"/>
      <c r="U43" s="295"/>
    </row>
    <row r="44" spans="1:21" s="31" customFormat="1" x14ac:dyDescent="0.3">
      <c r="A44" s="61">
        <f t="shared" si="5"/>
        <v>41</v>
      </c>
      <c r="B44" s="116" t="s">
        <v>237</v>
      </c>
      <c r="C44" s="116"/>
      <c r="D44" s="205" t="s">
        <v>5</v>
      </c>
      <c r="E44" s="127"/>
      <c r="F44" s="32" t="s">
        <v>9</v>
      </c>
      <c r="G44" s="32" t="s">
        <v>9</v>
      </c>
      <c r="H44" s="36" t="s">
        <v>9</v>
      </c>
      <c r="I44" s="32" t="s">
        <v>9</v>
      </c>
      <c r="J44" s="32" t="s">
        <v>9</v>
      </c>
      <c r="K44" s="211" t="s">
        <v>9</v>
      </c>
      <c r="L44" s="211" t="s">
        <v>9</v>
      </c>
      <c r="M44" s="211" t="s">
        <v>9</v>
      </c>
      <c r="N44" s="33" t="s">
        <v>9</v>
      </c>
      <c r="O44" s="51">
        <f t="shared" si="1"/>
        <v>9</v>
      </c>
      <c r="P44" s="78">
        <f t="shared" si="4"/>
        <v>0</v>
      </c>
      <c r="Q44" s="273">
        <f t="shared" si="2"/>
        <v>9</v>
      </c>
      <c r="R44" s="270">
        <v>270000</v>
      </c>
      <c r="S44" s="54">
        <f t="shared" si="3"/>
        <v>2430000</v>
      </c>
      <c r="T44" s="359"/>
    </row>
    <row r="45" spans="1:21" s="31" customFormat="1" x14ac:dyDescent="0.3">
      <c r="A45" s="61">
        <f t="shared" si="5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33"/>
      <c r="O45" s="51">
        <f t="shared" si="1"/>
        <v>0</v>
      </c>
      <c r="P45" s="78">
        <f t="shared" si="4"/>
        <v>0</v>
      </c>
      <c r="Q45" s="273">
        <f t="shared" si="2"/>
        <v>0</v>
      </c>
      <c r="R45" s="270">
        <v>270000</v>
      </c>
      <c r="S45" s="54">
        <f t="shared" si="3"/>
        <v>0</v>
      </c>
      <c r="T45" s="359"/>
    </row>
    <row r="46" spans="1:21" s="31" customFormat="1" x14ac:dyDescent="0.3">
      <c r="A46" s="61">
        <f t="shared" si="5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5"/>
      <c r="O46" s="51">
        <f t="shared" si="1"/>
        <v>0</v>
      </c>
      <c r="P46" s="78">
        <f t="shared" si="4"/>
        <v>0</v>
      </c>
      <c r="Q46" s="273">
        <f t="shared" si="2"/>
        <v>0</v>
      </c>
      <c r="R46" s="270">
        <v>270000</v>
      </c>
      <c r="S46" s="54">
        <f t="shared" si="3"/>
        <v>0</v>
      </c>
      <c r="T46" s="359"/>
    </row>
    <row r="47" spans="1:21" s="55" customFormat="1" ht="19.2" customHeight="1" x14ac:dyDescent="0.3">
      <c r="A47" s="294">
        <f t="shared" si="5"/>
        <v>44</v>
      </c>
      <c r="B47" s="159" t="s">
        <v>240</v>
      </c>
      <c r="C47" s="159"/>
      <c r="D47" s="206" t="s">
        <v>4</v>
      </c>
      <c r="E47" s="127"/>
      <c r="F47" s="32" t="s">
        <v>9</v>
      </c>
      <c r="G47" s="32" t="s">
        <v>9</v>
      </c>
      <c r="H47" s="36" t="s">
        <v>9</v>
      </c>
      <c r="I47" s="32" t="s">
        <v>9</v>
      </c>
      <c r="J47" s="32" t="s">
        <v>9</v>
      </c>
      <c r="K47" s="211" t="s">
        <v>9</v>
      </c>
      <c r="L47" s="211" t="s">
        <v>9</v>
      </c>
      <c r="M47" s="211" t="s">
        <v>9</v>
      </c>
      <c r="N47" s="33" t="s">
        <v>9</v>
      </c>
      <c r="O47" s="51">
        <f t="shared" si="1"/>
        <v>9</v>
      </c>
      <c r="P47" s="78">
        <f t="shared" si="4"/>
        <v>0</v>
      </c>
      <c r="Q47" s="273">
        <f t="shared" si="2"/>
        <v>9</v>
      </c>
      <c r="R47" s="270">
        <v>370000</v>
      </c>
      <c r="S47" s="54">
        <f>Q47*R47</f>
        <v>3330000</v>
      </c>
      <c r="T47" s="362"/>
      <c r="U47" s="295"/>
    </row>
    <row r="48" spans="1:21" s="31" customFormat="1" x14ac:dyDescent="0.3">
      <c r="A48" s="61">
        <f t="shared" si="5"/>
        <v>45</v>
      </c>
      <c r="B48" s="116" t="s">
        <v>241</v>
      </c>
      <c r="C48" s="116"/>
      <c r="D48" s="205" t="s">
        <v>4</v>
      </c>
      <c r="E48" s="127"/>
      <c r="F48" s="32" t="s">
        <v>9</v>
      </c>
      <c r="G48" s="32" t="s">
        <v>9</v>
      </c>
      <c r="H48" s="36" t="s">
        <v>9</v>
      </c>
      <c r="I48" s="32" t="s">
        <v>9</v>
      </c>
      <c r="J48" s="32" t="s">
        <v>9</v>
      </c>
      <c r="K48" s="211" t="s">
        <v>9</v>
      </c>
      <c r="L48" s="211" t="s">
        <v>9</v>
      </c>
      <c r="M48" s="211" t="s">
        <v>9</v>
      </c>
      <c r="N48" s="33" t="s">
        <v>9</v>
      </c>
      <c r="O48" s="51">
        <f t="shared" si="1"/>
        <v>9</v>
      </c>
      <c r="P48" s="78">
        <f t="shared" si="4"/>
        <v>0</v>
      </c>
      <c r="Q48" s="273">
        <f t="shared" si="2"/>
        <v>9</v>
      </c>
      <c r="R48" s="270">
        <v>360000</v>
      </c>
      <c r="S48" s="54">
        <f t="shared" si="3"/>
        <v>3240000</v>
      </c>
      <c r="T48" s="359"/>
    </row>
    <row r="49" spans="1:21" s="31" customFormat="1" x14ac:dyDescent="0.3">
      <c r="A49" s="61">
        <f t="shared" si="5"/>
        <v>46</v>
      </c>
      <c r="B49" s="116" t="s">
        <v>242</v>
      </c>
      <c r="C49" s="116"/>
      <c r="D49" s="205" t="s">
        <v>5</v>
      </c>
      <c r="E49" s="127"/>
      <c r="F49" s="32" t="s">
        <v>9</v>
      </c>
      <c r="G49" s="32" t="s">
        <v>9</v>
      </c>
      <c r="H49" s="36" t="s">
        <v>9</v>
      </c>
      <c r="I49" s="32" t="s">
        <v>9</v>
      </c>
      <c r="J49" s="32" t="s">
        <v>9</v>
      </c>
      <c r="K49" s="211" t="s">
        <v>9</v>
      </c>
      <c r="L49" s="211" t="s">
        <v>9</v>
      </c>
      <c r="M49" s="211" t="s">
        <v>9</v>
      </c>
      <c r="N49" s="33" t="s">
        <v>9</v>
      </c>
      <c r="O49" s="51">
        <f t="shared" si="1"/>
        <v>9</v>
      </c>
      <c r="P49" s="78">
        <f t="shared" si="4"/>
        <v>0</v>
      </c>
      <c r="Q49" s="273">
        <f t="shared" si="2"/>
        <v>9</v>
      </c>
      <c r="R49" s="270">
        <v>270000</v>
      </c>
      <c r="S49" s="54">
        <f t="shared" si="3"/>
        <v>2430000</v>
      </c>
      <c r="T49" s="359"/>
    </row>
    <row r="50" spans="1:21" s="31" customFormat="1" x14ac:dyDescent="0.3">
      <c r="A50" s="61">
        <f t="shared" si="5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33"/>
      <c r="O50" s="51">
        <f t="shared" si="1"/>
        <v>0</v>
      </c>
      <c r="P50" s="78">
        <f t="shared" si="4"/>
        <v>0</v>
      </c>
      <c r="Q50" s="273">
        <f t="shared" si="2"/>
        <v>0</v>
      </c>
      <c r="R50" s="270">
        <v>270000</v>
      </c>
      <c r="S50" s="54">
        <f t="shared" si="3"/>
        <v>0</v>
      </c>
      <c r="T50" s="359"/>
    </row>
    <row r="51" spans="1:21" s="31" customFormat="1" x14ac:dyDescent="0.3">
      <c r="A51" s="61">
        <f t="shared" si="5"/>
        <v>48</v>
      </c>
      <c r="B51" s="116" t="s">
        <v>287</v>
      </c>
      <c r="C51" s="116"/>
      <c r="D51" s="205" t="s">
        <v>4</v>
      </c>
      <c r="E51" s="127"/>
      <c r="F51" s="32"/>
      <c r="G51" s="32"/>
      <c r="H51" s="36"/>
      <c r="I51" s="32"/>
      <c r="J51" s="32"/>
      <c r="K51" s="211"/>
      <c r="L51" s="211"/>
      <c r="M51" s="211"/>
      <c r="N51" s="33"/>
      <c r="O51" s="51">
        <f t="shared" si="1"/>
        <v>0</v>
      </c>
      <c r="P51" s="78">
        <f t="shared" si="4"/>
        <v>0</v>
      </c>
      <c r="Q51" s="273">
        <f t="shared" si="2"/>
        <v>0</v>
      </c>
      <c r="R51" s="270">
        <v>360000</v>
      </c>
      <c r="S51" s="54">
        <f t="shared" si="3"/>
        <v>0</v>
      </c>
      <c r="T51" s="359"/>
    </row>
    <row r="52" spans="1:21" s="31" customFormat="1" x14ac:dyDescent="0.3">
      <c r="A52" s="61">
        <f t="shared" si="5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33"/>
      <c r="O52" s="51">
        <f t="shared" si="1"/>
        <v>0</v>
      </c>
      <c r="P52" s="78">
        <f t="shared" si="4"/>
        <v>0</v>
      </c>
      <c r="Q52" s="273">
        <f t="shared" si="2"/>
        <v>0</v>
      </c>
      <c r="R52" s="270">
        <v>360000</v>
      </c>
      <c r="S52" s="54">
        <f t="shared" si="3"/>
        <v>0</v>
      </c>
      <c r="T52" s="359"/>
    </row>
    <row r="53" spans="1:21" s="31" customFormat="1" x14ac:dyDescent="0.3">
      <c r="A53" s="61">
        <f t="shared" si="5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33"/>
      <c r="O53" s="51">
        <f t="shared" si="1"/>
        <v>0</v>
      </c>
      <c r="P53" s="78">
        <f t="shared" si="4"/>
        <v>0</v>
      </c>
      <c r="Q53" s="273">
        <f t="shared" si="2"/>
        <v>0</v>
      </c>
      <c r="R53" s="270">
        <v>270000</v>
      </c>
      <c r="S53" s="54">
        <f t="shared" si="3"/>
        <v>0</v>
      </c>
      <c r="T53" s="359"/>
    </row>
    <row r="54" spans="1:21" s="289" customFormat="1" x14ac:dyDescent="0.3">
      <c r="A54" s="276">
        <f t="shared" si="5"/>
        <v>51</v>
      </c>
      <c r="B54" s="277" t="s">
        <v>288</v>
      </c>
      <c r="C54" s="277"/>
      <c r="D54" s="278" t="s">
        <v>5</v>
      </c>
      <c r="E54" s="279"/>
      <c r="F54" s="280" t="s">
        <v>9</v>
      </c>
      <c r="G54" s="280" t="s">
        <v>9</v>
      </c>
      <c r="H54" s="281" t="s">
        <v>9</v>
      </c>
      <c r="I54" s="280" t="s">
        <v>9</v>
      </c>
      <c r="J54" s="280"/>
      <c r="K54" s="282"/>
      <c r="L54" s="282" t="s">
        <v>9</v>
      </c>
      <c r="M54" s="282" t="s">
        <v>9</v>
      </c>
      <c r="N54" s="322" t="s">
        <v>9</v>
      </c>
      <c r="O54" s="318">
        <f t="shared" si="1"/>
        <v>7</v>
      </c>
      <c r="P54" s="284">
        <f t="shared" si="4"/>
        <v>0</v>
      </c>
      <c r="Q54" s="285">
        <f t="shared" si="2"/>
        <v>7</v>
      </c>
      <c r="R54" s="286">
        <v>270000</v>
      </c>
      <c r="S54" s="287">
        <f t="shared" si="3"/>
        <v>1890000</v>
      </c>
      <c r="T54" s="363">
        <v>270000</v>
      </c>
    </row>
    <row r="55" spans="1:21" s="31" customFormat="1" x14ac:dyDescent="0.3">
      <c r="A55" s="61">
        <f t="shared" si="5"/>
        <v>52</v>
      </c>
      <c r="B55" s="116" t="s">
        <v>291</v>
      </c>
      <c r="C55" s="116"/>
      <c r="D55" s="205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33"/>
      <c r="O55" s="51">
        <f t="shared" si="1"/>
        <v>0</v>
      </c>
      <c r="P55" s="78">
        <f t="shared" si="4"/>
        <v>0</v>
      </c>
      <c r="Q55" s="273">
        <f t="shared" si="2"/>
        <v>0</v>
      </c>
      <c r="R55" s="270">
        <v>270000</v>
      </c>
      <c r="S55" s="54">
        <f>Q55*R55</f>
        <v>0</v>
      </c>
      <c r="T55" s="359"/>
    </row>
    <row r="56" spans="1:21" s="55" customFormat="1" ht="19.2" customHeight="1" x14ac:dyDescent="0.3">
      <c r="A56" s="294">
        <f t="shared" si="5"/>
        <v>53</v>
      </c>
      <c r="B56" s="159" t="s">
        <v>295</v>
      </c>
      <c r="C56" s="159"/>
      <c r="D56" s="206" t="s">
        <v>5</v>
      </c>
      <c r="E56" s="127"/>
      <c r="F56" s="32" t="s">
        <v>9</v>
      </c>
      <c r="G56" s="32" t="s">
        <v>9</v>
      </c>
      <c r="H56" s="36" t="s">
        <v>9</v>
      </c>
      <c r="I56" s="32"/>
      <c r="J56" s="32"/>
      <c r="K56" s="211"/>
      <c r="L56" s="211"/>
      <c r="M56" s="211" t="s">
        <v>9</v>
      </c>
      <c r="N56" s="33" t="s">
        <v>8</v>
      </c>
      <c r="O56" s="51">
        <f t="shared" si="1"/>
        <v>4</v>
      </c>
      <c r="P56" s="78">
        <f t="shared" si="4"/>
        <v>0.5</v>
      </c>
      <c r="Q56" s="273">
        <f t="shared" si="2"/>
        <v>4.5</v>
      </c>
      <c r="R56" s="270">
        <v>280000</v>
      </c>
      <c r="S56" s="54">
        <f>Q56*R56</f>
        <v>1260000</v>
      </c>
      <c r="T56" s="362"/>
      <c r="U56" s="295"/>
    </row>
    <row r="57" spans="1:21" s="31" customFormat="1" x14ac:dyDescent="0.3">
      <c r="A57" s="61">
        <f t="shared" si="5"/>
        <v>54</v>
      </c>
      <c r="B57" s="116" t="s">
        <v>296</v>
      </c>
      <c r="C57" s="116"/>
      <c r="D57" s="205" t="s">
        <v>5</v>
      </c>
      <c r="E57" s="127"/>
      <c r="F57" s="32"/>
      <c r="G57" s="32"/>
      <c r="H57" s="36"/>
      <c r="I57" s="32"/>
      <c r="J57" s="32"/>
      <c r="K57" s="211"/>
      <c r="L57" s="211"/>
      <c r="M57" s="211"/>
      <c r="N57" s="33"/>
      <c r="O57" s="51">
        <f t="shared" si="1"/>
        <v>0</v>
      </c>
      <c r="P57" s="78">
        <f t="shared" si="4"/>
        <v>0</v>
      </c>
      <c r="Q57" s="273">
        <f t="shared" si="2"/>
        <v>0</v>
      </c>
      <c r="R57" s="270">
        <v>270000</v>
      </c>
      <c r="S57" s="54">
        <f t="shared" si="3"/>
        <v>0</v>
      </c>
      <c r="T57" s="359"/>
    </row>
    <row r="58" spans="1:21" s="31" customFormat="1" x14ac:dyDescent="0.3">
      <c r="A58" s="61">
        <f t="shared" si="5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33"/>
      <c r="O58" s="51">
        <f t="shared" si="1"/>
        <v>0</v>
      </c>
      <c r="P58" s="78">
        <f t="shared" si="4"/>
        <v>0</v>
      </c>
      <c r="Q58" s="273">
        <f t="shared" si="2"/>
        <v>0</v>
      </c>
      <c r="R58" s="270">
        <v>360000</v>
      </c>
      <c r="S58" s="54">
        <f t="shared" si="3"/>
        <v>0</v>
      </c>
      <c r="T58" s="359"/>
    </row>
    <row r="59" spans="1:21" s="31" customFormat="1" x14ac:dyDescent="0.3">
      <c r="A59" s="61">
        <f t="shared" si="5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33"/>
      <c r="O59" s="51">
        <f t="shared" si="1"/>
        <v>0</v>
      </c>
      <c r="P59" s="78">
        <f t="shared" si="4"/>
        <v>0</v>
      </c>
      <c r="Q59" s="273">
        <f t="shared" si="2"/>
        <v>0</v>
      </c>
      <c r="R59" s="270">
        <v>270000</v>
      </c>
      <c r="S59" s="54">
        <f t="shared" si="3"/>
        <v>0</v>
      </c>
      <c r="T59" s="359"/>
    </row>
    <row r="60" spans="1:21" s="31" customFormat="1" x14ac:dyDescent="0.3">
      <c r="A60" s="61">
        <f t="shared" si="5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33"/>
      <c r="O60" s="51">
        <f t="shared" si="1"/>
        <v>0</v>
      </c>
      <c r="P60" s="78">
        <f t="shared" si="4"/>
        <v>0</v>
      </c>
      <c r="Q60" s="273">
        <f t="shared" si="2"/>
        <v>0</v>
      </c>
      <c r="R60" s="270">
        <v>260000</v>
      </c>
      <c r="S60" s="54">
        <f t="shared" si="3"/>
        <v>0</v>
      </c>
      <c r="T60" s="359"/>
    </row>
    <row r="61" spans="1:21" s="31" customFormat="1" x14ac:dyDescent="0.3">
      <c r="A61" s="61">
        <f t="shared" si="5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33"/>
      <c r="O61" s="162">
        <f t="shared" si="1"/>
        <v>0</v>
      </c>
      <c r="P61" s="163">
        <f t="shared" si="4"/>
        <v>0</v>
      </c>
      <c r="Q61" s="273">
        <f t="shared" si="2"/>
        <v>0</v>
      </c>
      <c r="R61" s="270">
        <v>360000</v>
      </c>
      <c r="S61" s="54">
        <f t="shared" si="3"/>
        <v>0</v>
      </c>
      <c r="T61" s="359"/>
    </row>
    <row r="62" spans="1:21" s="31" customFormat="1" x14ac:dyDescent="0.3">
      <c r="A62" s="61">
        <f t="shared" si="5"/>
        <v>59</v>
      </c>
      <c r="B62" s="116" t="s">
        <v>362</v>
      </c>
      <c r="C62" s="116"/>
      <c r="D62" s="205" t="s">
        <v>5</v>
      </c>
      <c r="E62" s="127"/>
      <c r="F62" s="32"/>
      <c r="G62" s="32"/>
      <c r="H62" s="36"/>
      <c r="I62" s="32"/>
      <c r="J62" s="32"/>
      <c r="K62" s="211"/>
      <c r="L62" s="211"/>
      <c r="M62" s="211"/>
      <c r="N62" s="33"/>
      <c r="O62" s="162">
        <f t="shared" si="1"/>
        <v>0</v>
      </c>
      <c r="P62" s="163">
        <f t="shared" si="4"/>
        <v>0</v>
      </c>
      <c r="Q62" s="273">
        <f t="shared" si="2"/>
        <v>0</v>
      </c>
      <c r="R62" s="270">
        <v>260000</v>
      </c>
      <c r="S62" s="54">
        <f t="shared" si="3"/>
        <v>0</v>
      </c>
      <c r="T62" s="359"/>
    </row>
    <row r="63" spans="1:21" s="31" customFormat="1" x14ac:dyDescent="0.3">
      <c r="A63" s="61">
        <f t="shared" si="5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33"/>
      <c r="O63" s="162">
        <f t="shared" si="1"/>
        <v>0</v>
      </c>
      <c r="P63" s="163">
        <f t="shared" si="4"/>
        <v>0</v>
      </c>
      <c r="Q63" s="273">
        <f t="shared" si="2"/>
        <v>0</v>
      </c>
      <c r="R63" s="270">
        <v>260000</v>
      </c>
      <c r="S63" s="54">
        <f t="shared" si="3"/>
        <v>0</v>
      </c>
      <c r="T63" s="359"/>
    </row>
    <row r="64" spans="1:21" s="31" customFormat="1" x14ac:dyDescent="0.3">
      <c r="A64" s="61">
        <f t="shared" si="5"/>
        <v>61</v>
      </c>
      <c r="B64" s="116" t="s">
        <v>364</v>
      </c>
      <c r="C64" s="116"/>
      <c r="D64" s="205" t="s">
        <v>4</v>
      </c>
      <c r="E64" s="127"/>
      <c r="F64" s="32" t="s">
        <v>9</v>
      </c>
      <c r="G64" s="32" t="s">
        <v>9</v>
      </c>
      <c r="H64" s="36" t="s">
        <v>9</v>
      </c>
      <c r="I64" s="32" t="s">
        <v>9</v>
      </c>
      <c r="J64" s="32" t="s">
        <v>9</v>
      </c>
      <c r="K64" s="211" t="s">
        <v>9</v>
      </c>
      <c r="L64" s="211" t="s">
        <v>9</v>
      </c>
      <c r="M64" s="211" t="s">
        <v>9</v>
      </c>
      <c r="N64" s="33"/>
      <c r="O64" s="162">
        <f t="shared" si="1"/>
        <v>8</v>
      </c>
      <c r="P64" s="163">
        <f t="shared" si="4"/>
        <v>0</v>
      </c>
      <c r="Q64" s="273">
        <f t="shared" si="2"/>
        <v>8</v>
      </c>
      <c r="R64" s="270">
        <v>370000</v>
      </c>
      <c r="S64" s="54">
        <f t="shared" si="3"/>
        <v>2960000</v>
      </c>
      <c r="T64" s="359"/>
    </row>
    <row r="65" spans="1:20" s="31" customFormat="1" x14ac:dyDescent="0.3">
      <c r="A65" s="61">
        <f t="shared" si="5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33"/>
      <c r="O65" s="162">
        <f t="shared" si="1"/>
        <v>0</v>
      </c>
      <c r="P65" s="163">
        <f t="shared" si="4"/>
        <v>0</v>
      </c>
      <c r="Q65" s="273">
        <f t="shared" si="2"/>
        <v>0</v>
      </c>
      <c r="R65" s="270">
        <v>260000</v>
      </c>
      <c r="S65" s="54">
        <f t="shared" si="3"/>
        <v>0</v>
      </c>
      <c r="T65" s="359"/>
    </row>
    <row r="66" spans="1:20" s="31" customFormat="1" x14ac:dyDescent="0.3">
      <c r="A66" s="61">
        <f t="shared" si="5"/>
        <v>63</v>
      </c>
      <c r="B66" s="116" t="s">
        <v>366</v>
      </c>
      <c r="C66" s="116"/>
      <c r="D66" s="205" t="s">
        <v>4</v>
      </c>
      <c r="E66" s="127"/>
      <c r="F66" s="32" t="s">
        <v>9</v>
      </c>
      <c r="G66" s="32" t="s">
        <v>9</v>
      </c>
      <c r="H66" s="36" t="s">
        <v>9</v>
      </c>
      <c r="I66" s="32" t="s">
        <v>9</v>
      </c>
      <c r="J66" s="32" t="s">
        <v>9</v>
      </c>
      <c r="K66" s="211" t="s">
        <v>9</v>
      </c>
      <c r="L66" s="211" t="s">
        <v>9</v>
      </c>
      <c r="M66" s="211" t="s">
        <v>9</v>
      </c>
      <c r="N66" s="33"/>
      <c r="O66" s="162">
        <f t="shared" si="1"/>
        <v>8</v>
      </c>
      <c r="P66" s="163">
        <f t="shared" si="4"/>
        <v>0</v>
      </c>
      <c r="Q66" s="273">
        <f t="shared" si="2"/>
        <v>8</v>
      </c>
      <c r="R66" s="270">
        <v>360000</v>
      </c>
      <c r="S66" s="54">
        <f t="shared" si="3"/>
        <v>2880000</v>
      </c>
      <c r="T66" s="359"/>
    </row>
    <row r="67" spans="1:20" s="31" customFormat="1" x14ac:dyDescent="0.3">
      <c r="A67" s="61">
        <f t="shared" si="5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33"/>
      <c r="O67" s="162">
        <f t="shared" si="1"/>
        <v>0</v>
      </c>
      <c r="P67" s="163">
        <f t="shared" si="4"/>
        <v>0</v>
      </c>
      <c r="Q67" s="273">
        <f t="shared" si="2"/>
        <v>0</v>
      </c>
      <c r="R67" s="270">
        <v>260000</v>
      </c>
      <c r="S67" s="54">
        <f t="shared" si="3"/>
        <v>0</v>
      </c>
      <c r="T67" s="359"/>
    </row>
    <row r="68" spans="1:20" s="31" customFormat="1" x14ac:dyDescent="0.3">
      <c r="A68" s="61">
        <f t="shared" si="5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33"/>
      <c r="O68" s="162">
        <f t="shared" ref="O68:O77" si="6">COUNTIF(E68:N68,"X")</f>
        <v>0</v>
      </c>
      <c r="P68" s="163">
        <f t="shared" si="4"/>
        <v>0</v>
      </c>
      <c r="Q68" s="273">
        <f t="shared" ref="Q68:Q77" si="7">SUM(O68:P68)</f>
        <v>0</v>
      </c>
      <c r="R68" s="270">
        <v>260000</v>
      </c>
      <c r="S68" s="54">
        <f t="shared" ref="S68:S82" si="8">Q68*R68</f>
        <v>0</v>
      </c>
      <c r="T68" s="359"/>
    </row>
    <row r="69" spans="1:20" s="31" customFormat="1" x14ac:dyDescent="0.3">
      <c r="A69" s="61">
        <f t="shared" si="5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33"/>
      <c r="O69" s="162">
        <f t="shared" si="6"/>
        <v>0</v>
      </c>
      <c r="P69" s="163">
        <f t="shared" ref="P69:P77" si="9">COUNTIF(E69:N69,"X/2")/2</f>
        <v>0</v>
      </c>
      <c r="Q69" s="273">
        <f t="shared" si="7"/>
        <v>0</v>
      </c>
      <c r="R69" s="270">
        <v>270000</v>
      </c>
      <c r="S69" s="54">
        <f t="shared" si="8"/>
        <v>0</v>
      </c>
      <c r="T69" s="359"/>
    </row>
    <row r="70" spans="1:20" s="31" customFormat="1" x14ac:dyDescent="0.3">
      <c r="A70" s="61">
        <f t="shared" si="5"/>
        <v>67</v>
      </c>
      <c r="B70" s="116" t="s">
        <v>371</v>
      </c>
      <c r="C70" s="116"/>
      <c r="D70" s="205" t="s">
        <v>4</v>
      </c>
      <c r="E70" s="127"/>
      <c r="F70" s="32" t="s">
        <v>9</v>
      </c>
      <c r="G70" s="32" t="s">
        <v>9</v>
      </c>
      <c r="H70" s="36" t="s">
        <v>9</v>
      </c>
      <c r="I70" s="32" t="s">
        <v>9</v>
      </c>
      <c r="J70" s="32" t="s">
        <v>9</v>
      </c>
      <c r="K70" s="211"/>
      <c r="L70" s="211" t="s">
        <v>9</v>
      </c>
      <c r="M70" s="211" t="s">
        <v>9</v>
      </c>
      <c r="N70" s="33" t="s">
        <v>9</v>
      </c>
      <c r="O70" s="162">
        <f t="shared" si="6"/>
        <v>8</v>
      </c>
      <c r="P70" s="163">
        <f t="shared" si="9"/>
        <v>0</v>
      </c>
      <c r="Q70" s="273">
        <f t="shared" si="7"/>
        <v>8</v>
      </c>
      <c r="R70" s="270">
        <v>360000</v>
      </c>
      <c r="S70" s="54">
        <f t="shared" si="8"/>
        <v>2880000</v>
      </c>
      <c r="T70" s="359"/>
    </row>
    <row r="71" spans="1:20" s="31" customFormat="1" x14ac:dyDescent="0.3">
      <c r="A71" s="61">
        <f t="shared" ref="A71:A82" si="10">A70+1</f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/>
      <c r="L71" s="211"/>
      <c r="M71" s="211"/>
      <c r="N71" s="33"/>
      <c r="O71" s="162">
        <f t="shared" si="6"/>
        <v>0</v>
      </c>
      <c r="P71" s="163">
        <f t="shared" si="9"/>
        <v>0</v>
      </c>
      <c r="Q71" s="273">
        <f t="shared" si="7"/>
        <v>0</v>
      </c>
      <c r="R71" s="270">
        <v>360000</v>
      </c>
      <c r="S71" s="54">
        <f t="shared" si="8"/>
        <v>0</v>
      </c>
      <c r="T71" s="359"/>
    </row>
    <row r="72" spans="1:20" s="31" customFormat="1" x14ac:dyDescent="0.3">
      <c r="A72" s="61">
        <f t="shared" si="10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33"/>
      <c r="O72" s="162">
        <f t="shared" si="6"/>
        <v>0</v>
      </c>
      <c r="P72" s="163">
        <f t="shared" si="9"/>
        <v>0</v>
      </c>
      <c r="Q72" s="273">
        <f t="shared" si="7"/>
        <v>0</v>
      </c>
      <c r="R72" s="270">
        <v>260000</v>
      </c>
      <c r="S72" s="54">
        <f t="shared" si="8"/>
        <v>0</v>
      </c>
      <c r="T72" s="359"/>
    </row>
    <row r="73" spans="1:20" s="31" customFormat="1" x14ac:dyDescent="0.3">
      <c r="A73" s="61">
        <f t="shared" si="10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33"/>
      <c r="O73" s="162">
        <f t="shared" si="6"/>
        <v>0</v>
      </c>
      <c r="P73" s="163">
        <f t="shared" si="9"/>
        <v>0</v>
      </c>
      <c r="Q73" s="273">
        <f t="shared" si="7"/>
        <v>0</v>
      </c>
      <c r="R73" s="270">
        <v>360000</v>
      </c>
      <c r="S73" s="54">
        <f t="shared" si="8"/>
        <v>0</v>
      </c>
      <c r="T73" s="359"/>
    </row>
    <row r="74" spans="1:20" s="31" customFormat="1" x14ac:dyDescent="0.3">
      <c r="A74" s="61">
        <f t="shared" si="10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33"/>
      <c r="O74" s="162">
        <f t="shared" si="6"/>
        <v>0</v>
      </c>
      <c r="P74" s="163">
        <f t="shared" si="9"/>
        <v>0</v>
      </c>
      <c r="Q74" s="273">
        <f t="shared" si="7"/>
        <v>0</v>
      </c>
      <c r="R74" s="270">
        <v>260000</v>
      </c>
      <c r="S74" s="54">
        <f t="shared" si="8"/>
        <v>0</v>
      </c>
      <c r="T74" s="359"/>
    </row>
    <row r="75" spans="1:20" s="31" customFormat="1" x14ac:dyDescent="0.3">
      <c r="A75" s="61">
        <f t="shared" si="10"/>
        <v>72</v>
      </c>
      <c r="B75" s="159" t="s">
        <v>376</v>
      </c>
      <c r="C75" s="159"/>
      <c r="D75" s="206" t="s">
        <v>5</v>
      </c>
      <c r="E75" s="127"/>
      <c r="F75" s="32"/>
      <c r="G75" s="32"/>
      <c r="H75" s="36"/>
      <c r="I75" s="227"/>
      <c r="J75" s="227"/>
      <c r="K75" s="229"/>
      <c r="L75" s="229"/>
      <c r="M75" s="229"/>
      <c r="N75" s="323"/>
      <c r="O75" s="162">
        <f t="shared" si="6"/>
        <v>0</v>
      </c>
      <c r="P75" s="163">
        <f t="shared" si="9"/>
        <v>0</v>
      </c>
      <c r="Q75" s="273">
        <f t="shared" si="7"/>
        <v>0</v>
      </c>
      <c r="R75" s="270">
        <v>260000</v>
      </c>
      <c r="S75" s="54">
        <f t="shared" si="8"/>
        <v>0</v>
      </c>
      <c r="T75" s="364"/>
    </row>
    <row r="76" spans="1:20" s="55" customFormat="1" x14ac:dyDescent="0.3">
      <c r="A76" s="61">
        <f t="shared" si="10"/>
        <v>73</v>
      </c>
      <c r="B76" s="29" t="s">
        <v>387</v>
      </c>
      <c r="C76" s="29"/>
      <c r="D76" s="210" t="s">
        <v>5</v>
      </c>
      <c r="E76" s="233"/>
      <c r="F76" s="21"/>
      <c r="G76" s="21"/>
      <c r="H76" s="21"/>
      <c r="I76" s="21"/>
      <c r="J76" s="21"/>
      <c r="K76" s="21"/>
      <c r="L76" s="21"/>
      <c r="M76" s="21"/>
      <c r="N76" s="25"/>
      <c r="O76" s="51">
        <f>COUNTIF(E76:N76,"X")</f>
        <v>0</v>
      </c>
      <c r="P76" s="78">
        <f>COUNTIF(E76:N76,"X/2")/2</f>
        <v>0</v>
      </c>
      <c r="Q76" s="273">
        <f>SUM(O76:P76)</f>
        <v>0</v>
      </c>
      <c r="R76" s="269">
        <v>270000</v>
      </c>
      <c r="S76" s="77">
        <f>Q76*R76</f>
        <v>0</v>
      </c>
      <c r="T76" s="365"/>
    </row>
    <row r="77" spans="1:20" s="289" customFormat="1" x14ac:dyDescent="0.3">
      <c r="A77" s="276">
        <f>A76+1</f>
        <v>74</v>
      </c>
      <c r="B77" s="115" t="s">
        <v>394</v>
      </c>
      <c r="C77" s="115"/>
      <c r="D77" s="300" t="s">
        <v>4</v>
      </c>
      <c r="E77" s="305"/>
      <c r="F77" s="146" t="s">
        <v>9</v>
      </c>
      <c r="G77" s="146" t="s">
        <v>9</v>
      </c>
      <c r="H77" s="146"/>
      <c r="I77" s="146"/>
      <c r="J77" s="146"/>
      <c r="K77" s="146"/>
      <c r="L77" s="146"/>
      <c r="M77" s="146"/>
      <c r="N77" s="321"/>
      <c r="O77" s="339">
        <f t="shared" si="6"/>
        <v>2</v>
      </c>
      <c r="P77" s="304">
        <f t="shared" si="9"/>
        <v>0</v>
      </c>
      <c r="Q77" s="285">
        <f t="shared" si="7"/>
        <v>2</v>
      </c>
      <c r="R77" s="301">
        <v>400000</v>
      </c>
      <c r="S77" s="287">
        <f t="shared" si="8"/>
        <v>800000</v>
      </c>
      <c r="T77" s="360">
        <v>800000</v>
      </c>
    </row>
    <row r="78" spans="1:20" s="55" customFormat="1" x14ac:dyDescent="0.3">
      <c r="A78" s="61">
        <f t="shared" si="10"/>
        <v>75</v>
      </c>
      <c r="B78" s="29" t="s">
        <v>388</v>
      </c>
      <c r="C78" s="29"/>
      <c r="D78" s="210" t="s">
        <v>5</v>
      </c>
      <c r="E78" s="233"/>
      <c r="F78" s="21" t="s">
        <v>9</v>
      </c>
      <c r="G78" s="21" t="s">
        <v>9</v>
      </c>
      <c r="H78" s="21" t="s">
        <v>9</v>
      </c>
      <c r="I78" s="21" t="s">
        <v>9</v>
      </c>
      <c r="J78" s="21" t="s">
        <v>9</v>
      </c>
      <c r="K78" s="21" t="s">
        <v>9</v>
      </c>
      <c r="L78" s="21" t="s">
        <v>9</v>
      </c>
      <c r="M78" s="21" t="s">
        <v>9</v>
      </c>
      <c r="N78" s="25"/>
      <c r="O78" s="162">
        <f t="shared" ref="O78:O82" si="11">COUNTIF(E78:N78,"X")</f>
        <v>8</v>
      </c>
      <c r="P78" s="163">
        <f t="shared" ref="P78:P82" si="12">COUNTIF(E78:N78,"X/2")/2</f>
        <v>0</v>
      </c>
      <c r="Q78" s="273">
        <f t="shared" ref="Q78:Q82" si="13">SUM(O78:P78)</f>
        <v>8</v>
      </c>
      <c r="R78" s="269">
        <v>270000</v>
      </c>
      <c r="S78" s="54">
        <f t="shared" si="8"/>
        <v>2160000</v>
      </c>
      <c r="T78" s="364"/>
    </row>
    <row r="79" spans="1:20" s="55" customFormat="1" x14ac:dyDescent="0.3">
      <c r="A79" s="61">
        <f t="shared" si="10"/>
        <v>76</v>
      </c>
      <c r="B79" s="29" t="s">
        <v>389</v>
      </c>
      <c r="C79" s="29"/>
      <c r="D79" s="210" t="s">
        <v>4</v>
      </c>
      <c r="E79" s="233"/>
      <c r="F79" s="21"/>
      <c r="G79" s="21"/>
      <c r="H79" s="21"/>
      <c r="I79" s="21" t="s">
        <v>9</v>
      </c>
      <c r="J79" s="21" t="s">
        <v>9</v>
      </c>
      <c r="K79" s="21" t="s">
        <v>9</v>
      </c>
      <c r="L79" s="21" t="s">
        <v>9</v>
      </c>
      <c r="M79" s="21" t="s">
        <v>9</v>
      </c>
      <c r="N79" s="25" t="s">
        <v>9</v>
      </c>
      <c r="O79" s="162">
        <f t="shared" si="11"/>
        <v>6</v>
      </c>
      <c r="P79" s="163">
        <f t="shared" si="12"/>
        <v>0</v>
      </c>
      <c r="Q79" s="273">
        <f t="shared" si="13"/>
        <v>6</v>
      </c>
      <c r="R79" s="269">
        <v>320000</v>
      </c>
      <c r="S79" s="54">
        <f t="shared" si="8"/>
        <v>1920000</v>
      </c>
      <c r="T79" s="364"/>
    </row>
    <row r="80" spans="1:20" s="55" customFormat="1" x14ac:dyDescent="0.3">
      <c r="A80" s="61">
        <f t="shared" si="10"/>
        <v>77</v>
      </c>
      <c r="B80" s="29" t="s">
        <v>390</v>
      </c>
      <c r="C80" s="29"/>
      <c r="D80" s="210" t="s">
        <v>5</v>
      </c>
      <c r="E80" s="233"/>
      <c r="F80" s="21"/>
      <c r="G80" s="21"/>
      <c r="H80" s="21"/>
      <c r="I80" s="21" t="s">
        <v>9</v>
      </c>
      <c r="J80" s="21" t="s">
        <v>9</v>
      </c>
      <c r="K80" s="21" t="s">
        <v>9</v>
      </c>
      <c r="L80" s="21" t="s">
        <v>9</v>
      </c>
      <c r="M80" s="21" t="s">
        <v>9</v>
      </c>
      <c r="N80" s="25" t="s">
        <v>9</v>
      </c>
      <c r="O80" s="162">
        <f t="shared" si="11"/>
        <v>6</v>
      </c>
      <c r="P80" s="163">
        <f t="shared" si="12"/>
        <v>0</v>
      </c>
      <c r="Q80" s="273">
        <f t="shared" si="13"/>
        <v>6</v>
      </c>
      <c r="R80" s="269">
        <v>270000</v>
      </c>
      <c r="S80" s="54">
        <f t="shared" si="8"/>
        <v>1620000</v>
      </c>
      <c r="T80" s="364"/>
    </row>
    <row r="81" spans="1:21" s="55" customFormat="1" x14ac:dyDescent="0.3">
      <c r="A81" s="61">
        <f t="shared" si="10"/>
        <v>78</v>
      </c>
      <c r="B81" s="29" t="s">
        <v>391</v>
      </c>
      <c r="C81" s="29"/>
      <c r="D81" s="210" t="s">
        <v>4</v>
      </c>
      <c r="E81" s="233"/>
      <c r="F81" s="21"/>
      <c r="G81" s="21"/>
      <c r="H81" s="21"/>
      <c r="I81" s="21"/>
      <c r="J81" s="21"/>
      <c r="K81" s="21"/>
      <c r="L81" s="21"/>
      <c r="M81" s="21" t="s">
        <v>9</v>
      </c>
      <c r="N81" s="25" t="s">
        <v>9</v>
      </c>
      <c r="O81" s="162">
        <f t="shared" si="11"/>
        <v>2</v>
      </c>
      <c r="P81" s="163">
        <f t="shared" si="12"/>
        <v>0</v>
      </c>
      <c r="Q81" s="273">
        <f t="shared" si="13"/>
        <v>2</v>
      </c>
      <c r="R81" s="269">
        <v>360000</v>
      </c>
      <c r="S81" s="54">
        <f t="shared" si="8"/>
        <v>720000</v>
      </c>
      <c r="T81" s="364"/>
    </row>
    <row r="82" spans="1:21" s="55" customFormat="1" ht="16.2" thickBot="1" x14ac:dyDescent="0.35">
      <c r="A82" s="61">
        <f t="shared" si="10"/>
        <v>79</v>
      </c>
      <c r="B82" s="29" t="s">
        <v>392</v>
      </c>
      <c r="C82" s="353"/>
      <c r="D82" s="203" t="s">
        <v>5</v>
      </c>
      <c r="E82" s="41"/>
      <c r="F82" s="21"/>
      <c r="G82" s="21"/>
      <c r="H82" s="35"/>
      <c r="I82" s="21"/>
      <c r="J82" s="21"/>
      <c r="K82" s="210"/>
      <c r="L82" s="210"/>
      <c r="M82" s="210" t="s">
        <v>9</v>
      </c>
      <c r="N82" s="25" t="s">
        <v>9</v>
      </c>
      <c r="O82" s="51">
        <f t="shared" si="11"/>
        <v>2</v>
      </c>
      <c r="P82" s="78">
        <f t="shared" si="12"/>
        <v>0</v>
      </c>
      <c r="Q82" s="273">
        <f t="shared" si="13"/>
        <v>2</v>
      </c>
      <c r="R82" s="269">
        <v>270000</v>
      </c>
      <c r="S82" s="354">
        <f t="shared" si="8"/>
        <v>540000</v>
      </c>
      <c r="T82" s="364"/>
    </row>
    <row r="83" spans="1:21" s="55" customFormat="1" hidden="1" x14ac:dyDescent="0.3">
      <c r="A83" s="343"/>
      <c r="B83" s="344"/>
      <c r="C83" s="345"/>
      <c r="D83" s="346"/>
      <c r="E83" s="347"/>
      <c r="F83" s="348"/>
      <c r="G83" s="349"/>
      <c r="H83" s="348"/>
      <c r="I83" s="349"/>
      <c r="J83" s="349"/>
      <c r="K83" s="350"/>
      <c r="L83" s="350"/>
      <c r="M83" s="350"/>
      <c r="N83" s="351"/>
      <c r="O83" s="122"/>
      <c r="P83" s="123"/>
      <c r="Q83" s="272"/>
      <c r="R83" s="268"/>
      <c r="S83" s="352"/>
      <c r="T83" s="366"/>
    </row>
    <row r="84" spans="1:21" s="55" customFormat="1" ht="16.2" hidden="1" thickBot="1" x14ac:dyDescent="0.35">
      <c r="A84" s="324"/>
      <c r="B84" s="306"/>
      <c r="C84" s="307"/>
      <c r="D84" s="308"/>
      <c r="E84" s="309"/>
      <c r="F84" s="310"/>
      <c r="G84" s="311"/>
      <c r="H84" s="310"/>
      <c r="I84" s="311"/>
      <c r="J84" s="311"/>
      <c r="K84" s="312"/>
      <c r="L84" s="312"/>
      <c r="M84" s="312"/>
      <c r="N84" s="325"/>
      <c r="O84" s="319"/>
      <c r="P84" s="315"/>
      <c r="Q84" s="326"/>
      <c r="R84" s="313"/>
      <c r="S84" s="316"/>
      <c r="T84" s="365"/>
    </row>
    <row r="85" spans="1:21" s="31" customFormat="1" ht="16.2" thickBot="1" x14ac:dyDescent="0.35">
      <c r="A85" s="327"/>
      <c r="B85" s="328"/>
      <c r="C85" s="329"/>
      <c r="D85" s="330"/>
      <c r="E85" s="331">
        <f t="shared" ref="E85:O85" si="14">SUBTOTAL(103,E4:E75)</f>
        <v>0</v>
      </c>
      <c r="F85" s="332">
        <f>SUBTOTAL(103,F4:F82)</f>
        <v>34</v>
      </c>
      <c r="G85" s="332">
        <f t="shared" ref="G85:N85" si="15">SUBTOTAL(103,G4:G82)</f>
        <v>31</v>
      </c>
      <c r="H85" s="332">
        <f t="shared" si="15"/>
        <v>33</v>
      </c>
      <c r="I85" s="332">
        <f t="shared" si="15"/>
        <v>35</v>
      </c>
      <c r="J85" s="332">
        <f t="shared" si="15"/>
        <v>35</v>
      </c>
      <c r="K85" s="332">
        <f t="shared" si="15"/>
        <v>28</v>
      </c>
      <c r="L85" s="332">
        <f t="shared" si="15"/>
        <v>33</v>
      </c>
      <c r="M85" s="332">
        <f t="shared" si="15"/>
        <v>36</v>
      </c>
      <c r="N85" s="332">
        <f t="shared" si="15"/>
        <v>29</v>
      </c>
      <c r="O85" s="332">
        <f t="shared" si="14"/>
        <v>72</v>
      </c>
      <c r="P85" s="335">
        <f>SUBTOTAL(103,P4:P27)</f>
        <v>24</v>
      </c>
      <c r="Q85" s="336">
        <f>SUBTOTAL(103,Q4:Q27)</f>
        <v>24</v>
      </c>
      <c r="R85" s="332">
        <f>SUBTOTAL(103,R4:R84)</f>
        <v>79</v>
      </c>
      <c r="S85" s="337">
        <f>SUBTOTAL(109,S4:S82)</f>
        <v>101190000</v>
      </c>
      <c r="T85" s="338">
        <f>SUBTOTAL(109,T4:T84)</f>
        <v>5690000</v>
      </c>
      <c r="U85" s="208"/>
    </row>
    <row r="86" spans="1:21" x14ac:dyDescent="0.3">
      <c r="S86" s="76"/>
      <c r="T86" s="368">
        <f>S85-T85</f>
        <v>95500000</v>
      </c>
    </row>
    <row r="87" spans="1:21" x14ac:dyDescent="0.3">
      <c r="S87" s="76"/>
      <c r="T87" s="76"/>
    </row>
    <row r="88" spans="1:21" x14ac:dyDescent="0.3">
      <c r="S88" s="76"/>
    </row>
  </sheetData>
  <autoFilter ref="A3:U82"/>
  <mergeCells count="10">
    <mergeCell ref="Q2:Q3"/>
    <mergeCell ref="R2:R3"/>
    <mergeCell ref="S2:S3"/>
    <mergeCell ref="T2:T3"/>
    <mergeCell ref="A2:A3"/>
    <mergeCell ref="B2:B3"/>
    <mergeCell ref="C2:C3"/>
    <mergeCell ref="D2:D3"/>
    <mergeCell ref="O2:O3"/>
    <mergeCell ref="P2:P3"/>
  </mergeCells>
  <conditionalFormatting sqref="E85:N85">
    <cfRule type="expression" dxfId="6" priority="1">
      <formula>IF(E$3="cn",1,0)</formula>
    </cfRule>
  </conditionalFormatting>
  <pageMargins left="0.2" right="0.2" top="0.21" bottom="0.2" header="0.2" footer="0.2"/>
  <pageSetup scale="95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88"/>
  <sheetViews>
    <sheetView topLeftCell="A64" workbookViewId="0">
      <selection activeCell="D12" sqref="D12"/>
    </sheetView>
  </sheetViews>
  <sheetFormatPr defaultRowHeight="15.6" x14ac:dyDescent="0.3"/>
  <cols>
    <col min="1" max="1" width="5.44140625" style="62" customWidth="1"/>
    <col min="2" max="2" width="19.5546875" style="1" customWidth="1"/>
    <col min="3" max="3" width="27.21875" style="1" customWidth="1"/>
    <col min="4" max="4" width="7.77734375" style="3" customWidth="1"/>
    <col min="5" max="5" width="3.77734375" style="129" hidden="1" customWidth="1"/>
    <col min="6" max="7" width="3.77734375" style="129" customWidth="1"/>
    <col min="8" max="15" width="3.77734375" style="176" customWidth="1"/>
    <col min="16" max="16" width="6.21875" style="176" hidden="1" customWidth="1"/>
    <col min="17" max="17" width="6.6640625" style="176" hidden="1" customWidth="1"/>
    <col min="18" max="18" width="6.21875" style="176" customWidth="1"/>
    <col min="19" max="19" width="10.88671875" style="1" customWidth="1"/>
    <col min="20" max="20" width="13.109375" style="1" customWidth="1"/>
    <col min="21" max="21" width="13.109375" style="1" hidden="1" customWidth="1"/>
    <col min="22" max="22" width="12.5546875" style="1" customWidth="1"/>
    <col min="23" max="23" width="22" style="1" customWidth="1"/>
    <col min="24" max="16384" width="8.88671875" style="1"/>
  </cols>
  <sheetData>
    <row r="1" spans="1:23" ht="27.6" customHeight="1" thickBot="1" x14ac:dyDescent="0.35">
      <c r="A1" s="154" t="s">
        <v>395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73"/>
      <c r="S1" s="173"/>
      <c r="T1" s="173"/>
      <c r="U1" s="173"/>
      <c r="V1" s="173"/>
    </row>
    <row r="2" spans="1:23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1</v>
      </c>
      <c r="F2" s="23">
        <v>11</v>
      </c>
      <c r="G2" s="23">
        <f t="shared" ref="G2:O2" si="0">F2+1</f>
        <v>12</v>
      </c>
      <c r="H2" s="23">
        <f t="shared" si="0"/>
        <v>13</v>
      </c>
      <c r="I2" s="23">
        <f t="shared" si="0"/>
        <v>14</v>
      </c>
      <c r="J2" s="23">
        <f t="shared" si="0"/>
        <v>15</v>
      </c>
      <c r="K2" s="23">
        <f t="shared" si="0"/>
        <v>16</v>
      </c>
      <c r="L2" s="23">
        <f t="shared" si="0"/>
        <v>17</v>
      </c>
      <c r="M2" s="23">
        <f t="shared" si="0"/>
        <v>18</v>
      </c>
      <c r="N2" s="23">
        <f t="shared" si="0"/>
        <v>19</v>
      </c>
      <c r="O2" s="23">
        <f t="shared" si="0"/>
        <v>20</v>
      </c>
      <c r="P2" s="420" t="s">
        <v>6</v>
      </c>
      <c r="Q2" s="422" t="s">
        <v>7</v>
      </c>
      <c r="R2" s="436" t="s">
        <v>357</v>
      </c>
      <c r="S2" s="438" t="s">
        <v>30</v>
      </c>
      <c r="T2" s="428" t="s">
        <v>33</v>
      </c>
      <c r="U2" s="442" t="s">
        <v>396</v>
      </c>
      <c r="V2" s="430" t="s">
        <v>127</v>
      </c>
    </row>
    <row r="3" spans="1:23" s="3" customFormat="1" ht="16.2" thickBot="1" x14ac:dyDescent="0.35">
      <c r="A3" s="415"/>
      <c r="B3" s="417"/>
      <c r="C3" s="417"/>
      <c r="D3" s="425"/>
      <c r="E3" s="125" t="s">
        <v>98</v>
      </c>
      <c r="F3" s="377" t="s">
        <v>94</v>
      </c>
      <c r="G3" s="378" t="s">
        <v>95</v>
      </c>
      <c r="H3" s="213" t="s">
        <v>97</v>
      </c>
      <c r="I3" s="213" t="s">
        <v>96</v>
      </c>
      <c r="J3" s="377" t="s">
        <v>98</v>
      </c>
      <c r="K3" s="378" t="s">
        <v>99</v>
      </c>
      <c r="L3" s="377" t="s">
        <v>93</v>
      </c>
      <c r="M3" s="378" t="s">
        <v>94</v>
      </c>
      <c r="N3" s="213" t="s">
        <v>95</v>
      </c>
      <c r="O3" s="377" t="s">
        <v>97</v>
      </c>
      <c r="P3" s="421"/>
      <c r="Q3" s="423"/>
      <c r="R3" s="437"/>
      <c r="S3" s="439"/>
      <c r="T3" s="440"/>
      <c r="U3" s="443"/>
      <c r="V3" s="441"/>
    </row>
    <row r="4" spans="1:23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263"/>
      <c r="F4" s="264" t="s">
        <v>9</v>
      </c>
      <c r="G4" s="264" t="s">
        <v>9</v>
      </c>
      <c r="H4" s="265" t="s">
        <v>9</v>
      </c>
      <c r="I4" s="264" t="s">
        <v>9</v>
      </c>
      <c r="J4" s="264" t="s">
        <v>9</v>
      </c>
      <c r="K4" s="266" t="s">
        <v>9</v>
      </c>
      <c r="L4" s="266"/>
      <c r="M4" s="266" t="s">
        <v>9</v>
      </c>
      <c r="N4" s="266" t="s">
        <v>9</v>
      </c>
      <c r="O4" s="320" t="s">
        <v>9</v>
      </c>
      <c r="P4" s="122">
        <f t="shared" ref="P4:P67" si="1">COUNTIF(E4:O4,"X")</f>
        <v>9</v>
      </c>
      <c r="Q4" s="123">
        <f>COUNTIF(E4:I4,"X/2")/2</f>
        <v>0</v>
      </c>
      <c r="R4" s="272">
        <f t="shared" ref="R4:R67" si="2">SUM(P4:Q4)</f>
        <v>9</v>
      </c>
      <c r="S4" s="268">
        <v>550000</v>
      </c>
      <c r="T4" s="376">
        <f t="shared" ref="T4:T67" si="3">R4*S4</f>
        <v>4950000</v>
      </c>
      <c r="U4" s="369"/>
      <c r="V4" s="367">
        <v>1500000</v>
      </c>
      <c r="W4" s="31"/>
    </row>
    <row r="5" spans="1:23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 t="s">
        <v>9</v>
      </c>
      <c r="G5" s="21" t="s">
        <v>9</v>
      </c>
      <c r="H5" s="35" t="s">
        <v>9</v>
      </c>
      <c r="I5" s="21" t="s">
        <v>9</v>
      </c>
      <c r="J5" s="21" t="s">
        <v>9</v>
      </c>
      <c r="K5" s="210" t="s">
        <v>9</v>
      </c>
      <c r="L5" s="210"/>
      <c r="M5" s="210" t="s">
        <v>9</v>
      </c>
      <c r="N5" s="210" t="s">
        <v>9</v>
      </c>
      <c r="O5" s="25" t="s">
        <v>9</v>
      </c>
      <c r="P5" s="51">
        <f t="shared" si="1"/>
        <v>9</v>
      </c>
      <c r="Q5" s="78">
        <f t="shared" ref="Q5:Q68" si="4">COUNTIF(E5:O5,"X/2")/2</f>
        <v>0</v>
      </c>
      <c r="R5" s="273">
        <f t="shared" si="2"/>
        <v>9</v>
      </c>
      <c r="S5" s="269">
        <v>380000</v>
      </c>
      <c r="T5" s="52">
        <f t="shared" si="3"/>
        <v>3420000</v>
      </c>
      <c r="U5" s="370"/>
      <c r="V5" s="355"/>
    </row>
    <row r="6" spans="1:23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/>
      <c r="F6" s="21"/>
      <c r="G6" s="21"/>
      <c r="H6" s="35"/>
      <c r="I6" s="21"/>
      <c r="J6" s="21"/>
      <c r="K6" s="210"/>
      <c r="L6" s="210"/>
      <c r="M6" s="210"/>
      <c r="N6" s="210"/>
      <c r="O6" s="25"/>
      <c r="P6" s="51">
        <f t="shared" si="1"/>
        <v>0</v>
      </c>
      <c r="Q6" s="78">
        <f t="shared" si="4"/>
        <v>0</v>
      </c>
      <c r="R6" s="273">
        <f t="shared" si="2"/>
        <v>0</v>
      </c>
      <c r="S6" s="269">
        <v>370000</v>
      </c>
      <c r="T6" s="52">
        <f t="shared" si="3"/>
        <v>0</v>
      </c>
      <c r="U6" s="370"/>
      <c r="V6" s="355"/>
    </row>
    <row r="7" spans="1:23" s="31" customFormat="1" x14ac:dyDescent="0.3">
      <c r="A7" s="61">
        <f t="shared" ref="A7:A70" si="5">A6+1</f>
        <v>4</v>
      </c>
      <c r="B7" s="28" t="s">
        <v>37</v>
      </c>
      <c r="C7" s="48" t="s">
        <v>60</v>
      </c>
      <c r="D7" s="202" t="s">
        <v>4</v>
      </c>
      <c r="E7" s="41"/>
      <c r="F7" s="21"/>
      <c r="G7" s="21"/>
      <c r="H7" s="35"/>
      <c r="I7" s="21"/>
      <c r="J7" s="21"/>
      <c r="K7" s="210"/>
      <c r="L7" s="210"/>
      <c r="M7" s="210"/>
      <c r="N7" s="210"/>
      <c r="O7" s="25"/>
      <c r="P7" s="51">
        <f t="shared" si="1"/>
        <v>0</v>
      </c>
      <c r="Q7" s="78">
        <f t="shared" si="4"/>
        <v>0</v>
      </c>
      <c r="R7" s="273">
        <f t="shared" si="2"/>
        <v>0</v>
      </c>
      <c r="S7" s="269">
        <v>370000</v>
      </c>
      <c r="T7" s="52">
        <f t="shared" si="3"/>
        <v>0</v>
      </c>
      <c r="U7" s="369"/>
      <c r="V7" s="356"/>
    </row>
    <row r="8" spans="1:23" s="31" customFormat="1" x14ac:dyDescent="0.3">
      <c r="A8" s="61">
        <f t="shared" si="5"/>
        <v>5</v>
      </c>
      <c r="B8" s="28" t="s">
        <v>38</v>
      </c>
      <c r="C8" s="48" t="s">
        <v>80</v>
      </c>
      <c r="D8" s="202" t="s">
        <v>17</v>
      </c>
      <c r="E8" s="41"/>
      <c r="F8" s="21" t="s">
        <v>9</v>
      </c>
      <c r="G8" s="21" t="s">
        <v>9</v>
      </c>
      <c r="H8" s="35" t="s">
        <v>9</v>
      </c>
      <c r="I8" s="21" t="s">
        <v>9</v>
      </c>
      <c r="J8" s="21"/>
      <c r="K8" s="210" t="s">
        <v>9</v>
      </c>
      <c r="L8" s="210"/>
      <c r="M8" s="210" t="s">
        <v>9</v>
      </c>
      <c r="N8" s="210" t="s">
        <v>9</v>
      </c>
      <c r="O8" s="25" t="s">
        <v>9</v>
      </c>
      <c r="P8" s="51">
        <f t="shared" si="1"/>
        <v>8</v>
      </c>
      <c r="Q8" s="78">
        <f t="shared" si="4"/>
        <v>0</v>
      </c>
      <c r="R8" s="273">
        <f t="shared" si="2"/>
        <v>8</v>
      </c>
      <c r="S8" s="269">
        <v>350000</v>
      </c>
      <c r="T8" s="52">
        <f t="shared" si="3"/>
        <v>2800000</v>
      </c>
      <c r="U8" s="370"/>
      <c r="V8" s="355"/>
    </row>
    <row r="9" spans="1:23" s="55" customFormat="1" x14ac:dyDescent="0.3">
      <c r="A9" s="294">
        <f t="shared" si="5"/>
        <v>6</v>
      </c>
      <c r="B9" s="158" t="s">
        <v>145</v>
      </c>
      <c r="C9" s="29" t="s">
        <v>60</v>
      </c>
      <c r="D9" s="203" t="s">
        <v>5</v>
      </c>
      <c r="E9" s="41"/>
      <c r="F9" s="21" t="s">
        <v>9</v>
      </c>
      <c r="G9" s="21" t="s">
        <v>9</v>
      </c>
      <c r="H9" s="35" t="s">
        <v>9</v>
      </c>
      <c r="I9" s="21" t="s">
        <v>9</v>
      </c>
      <c r="J9" s="21" t="s">
        <v>9</v>
      </c>
      <c r="K9" s="210" t="s">
        <v>9</v>
      </c>
      <c r="L9" s="210"/>
      <c r="M9" s="210" t="s">
        <v>9</v>
      </c>
      <c r="N9" s="210" t="s">
        <v>9</v>
      </c>
      <c r="O9" s="25" t="s">
        <v>9</v>
      </c>
      <c r="P9" s="51">
        <f t="shared" si="1"/>
        <v>9</v>
      </c>
      <c r="Q9" s="78">
        <f t="shared" si="4"/>
        <v>0</v>
      </c>
      <c r="R9" s="273">
        <f t="shared" si="2"/>
        <v>9</v>
      </c>
      <c r="S9" s="269">
        <v>350000</v>
      </c>
      <c r="T9" s="52">
        <f t="shared" si="3"/>
        <v>3150000</v>
      </c>
      <c r="U9" s="370"/>
      <c r="V9" s="358"/>
    </row>
    <row r="10" spans="1:23" s="31" customFormat="1" x14ac:dyDescent="0.3">
      <c r="A10" s="61">
        <f t="shared" si="5"/>
        <v>7</v>
      </c>
      <c r="B10" s="28" t="s">
        <v>34</v>
      </c>
      <c r="C10" s="48" t="s">
        <v>80</v>
      </c>
      <c r="D10" s="202" t="s">
        <v>5</v>
      </c>
      <c r="E10" s="41"/>
      <c r="F10" s="21" t="s">
        <v>9</v>
      </c>
      <c r="G10" s="21" t="s">
        <v>9</v>
      </c>
      <c r="H10" s="35" t="s">
        <v>9</v>
      </c>
      <c r="I10" s="21" t="s">
        <v>9</v>
      </c>
      <c r="J10" s="21"/>
      <c r="K10" s="210"/>
      <c r="L10" s="210"/>
      <c r="M10" s="210" t="s">
        <v>9</v>
      </c>
      <c r="N10" s="210" t="s">
        <v>9</v>
      </c>
      <c r="O10" s="25" t="s">
        <v>9</v>
      </c>
      <c r="P10" s="51">
        <f t="shared" si="1"/>
        <v>7</v>
      </c>
      <c r="Q10" s="78">
        <f t="shared" si="4"/>
        <v>0</v>
      </c>
      <c r="R10" s="273">
        <f t="shared" si="2"/>
        <v>7</v>
      </c>
      <c r="S10" s="269">
        <v>300000</v>
      </c>
      <c r="T10" s="52">
        <f t="shared" si="3"/>
        <v>2100000</v>
      </c>
      <c r="U10" s="370"/>
      <c r="V10" s="358"/>
    </row>
    <row r="11" spans="1:23" s="31" customFormat="1" x14ac:dyDescent="0.3">
      <c r="A11" s="61">
        <f t="shared" si="5"/>
        <v>8</v>
      </c>
      <c r="B11" s="28" t="s">
        <v>46</v>
      </c>
      <c r="C11" s="48" t="s">
        <v>60</v>
      </c>
      <c r="D11" s="202" t="s">
        <v>5</v>
      </c>
      <c r="E11" s="41"/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/>
      <c r="M11" s="210" t="s">
        <v>9</v>
      </c>
      <c r="N11" s="210" t="s">
        <v>9</v>
      </c>
      <c r="O11" s="25" t="s">
        <v>9</v>
      </c>
      <c r="P11" s="51">
        <f t="shared" si="1"/>
        <v>9</v>
      </c>
      <c r="Q11" s="78">
        <f t="shared" si="4"/>
        <v>0</v>
      </c>
      <c r="R11" s="273">
        <f t="shared" si="2"/>
        <v>9</v>
      </c>
      <c r="S11" s="269">
        <v>360000</v>
      </c>
      <c r="T11" s="52">
        <f t="shared" si="3"/>
        <v>3240000</v>
      </c>
      <c r="U11" s="370"/>
      <c r="V11" s="355"/>
    </row>
    <row r="12" spans="1:23" s="31" customFormat="1" x14ac:dyDescent="0.3">
      <c r="A12" s="61">
        <f t="shared" si="5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10"/>
      <c r="O12" s="25"/>
      <c r="P12" s="51">
        <f t="shared" si="1"/>
        <v>0</v>
      </c>
      <c r="Q12" s="78">
        <f t="shared" si="4"/>
        <v>0</v>
      </c>
      <c r="R12" s="273">
        <f t="shared" si="2"/>
        <v>0</v>
      </c>
      <c r="S12" s="269">
        <v>400000</v>
      </c>
      <c r="T12" s="52">
        <f t="shared" si="3"/>
        <v>0</v>
      </c>
      <c r="U12" s="370"/>
      <c r="V12" s="355"/>
    </row>
    <row r="13" spans="1:23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10"/>
      <c r="O13" s="25"/>
      <c r="P13" s="51">
        <f t="shared" si="1"/>
        <v>0</v>
      </c>
      <c r="Q13" s="78">
        <f t="shared" si="4"/>
        <v>0</v>
      </c>
      <c r="R13" s="273">
        <f t="shared" si="2"/>
        <v>0</v>
      </c>
      <c r="S13" s="269">
        <v>280000</v>
      </c>
      <c r="T13" s="52">
        <f t="shared" si="3"/>
        <v>0</v>
      </c>
      <c r="U13" s="370"/>
      <c r="V13" s="355"/>
    </row>
    <row r="14" spans="1:23" s="31" customFormat="1" x14ac:dyDescent="0.3">
      <c r="A14" s="61">
        <f t="shared" si="5"/>
        <v>11</v>
      </c>
      <c r="B14" s="28" t="s">
        <v>41</v>
      </c>
      <c r="C14" s="48" t="s">
        <v>80</v>
      </c>
      <c r="D14" s="202" t="s">
        <v>4</v>
      </c>
      <c r="E14" s="41"/>
      <c r="F14" s="21" t="s">
        <v>8</v>
      </c>
      <c r="G14" s="21" t="s">
        <v>9</v>
      </c>
      <c r="H14" s="35" t="s">
        <v>9</v>
      </c>
      <c r="I14" s="21" t="s">
        <v>8</v>
      </c>
      <c r="J14" s="21" t="s">
        <v>8</v>
      </c>
      <c r="K14" s="210" t="s">
        <v>9</v>
      </c>
      <c r="L14" s="210"/>
      <c r="M14" s="210" t="s">
        <v>8</v>
      </c>
      <c r="N14" s="210" t="s">
        <v>8</v>
      </c>
      <c r="O14" s="25" t="s">
        <v>9</v>
      </c>
      <c r="P14" s="51">
        <f t="shared" si="1"/>
        <v>4</v>
      </c>
      <c r="Q14" s="78">
        <f t="shared" si="4"/>
        <v>2.5</v>
      </c>
      <c r="R14" s="273">
        <f t="shared" si="2"/>
        <v>6.5</v>
      </c>
      <c r="S14" s="269">
        <v>400000</v>
      </c>
      <c r="T14" s="52">
        <f t="shared" si="3"/>
        <v>2600000</v>
      </c>
      <c r="U14" s="370"/>
      <c r="V14" s="355"/>
    </row>
    <row r="15" spans="1:23" s="31" customFormat="1" x14ac:dyDescent="0.3">
      <c r="A15" s="61">
        <f t="shared" si="5"/>
        <v>12</v>
      </c>
      <c r="B15" s="28" t="s">
        <v>47</v>
      </c>
      <c r="C15" s="48"/>
      <c r="D15" s="202" t="s">
        <v>4</v>
      </c>
      <c r="E15" s="41"/>
      <c r="F15" s="21" t="s">
        <v>8</v>
      </c>
      <c r="G15" s="21" t="s">
        <v>9</v>
      </c>
      <c r="H15" s="35" t="s">
        <v>9</v>
      </c>
      <c r="I15" s="21"/>
      <c r="J15" s="21"/>
      <c r="K15" s="210"/>
      <c r="L15" s="210"/>
      <c r="M15" s="210" t="s">
        <v>9</v>
      </c>
      <c r="N15" s="210" t="s">
        <v>9</v>
      </c>
      <c r="O15" s="25" t="s">
        <v>9</v>
      </c>
      <c r="P15" s="51">
        <f t="shared" si="1"/>
        <v>5</v>
      </c>
      <c r="Q15" s="78">
        <f t="shared" si="4"/>
        <v>0.5</v>
      </c>
      <c r="R15" s="273">
        <f t="shared" si="2"/>
        <v>5.5</v>
      </c>
      <c r="S15" s="269">
        <v>390000</v>
      </c>
      <c r="T15" s="52">
        <f t="shared" si="3"/>
        <v>2145000</v>
      </c>
      <c r="U15" s="370"/>
      <c r="V15" s="355"/>
    </row>
    <row r="16" spans="1:23" s="31" customFormat="1" x14ac:dyDescent="0.3">
      <c r="A16" s="61">
        <f t="shared" si="5"/>
        <v>13</v>
      </c>
      <c r="B16" s="28" t="s">
        <v>61</v>
      </c>
      <c r="C16" s="48" t="s">
        <v>60</v>
      </c>
      <c r="D16" s="203" t="s">
        <v>4</v>
      </c>
      <c r="E16" s="41"/>
      <c r="F16" s="21" t="s">
        <v>9</v>
      </c>
      <c r="G16" s="21" t="s">
        <v>9</v>
      </c>
      <c r="H16" s="35" t="s">
        <v>9</v>
      </c>
      <c r="I16" s="21" t="s">
        <v>9</v>
      </c>
      <c r="J16" s="21"/>
      <c r="K16" s="210"/>
      <c r="L16" s="210"/>
      <c r="M16" s="210"/>
      <c r="N16" s="210"/>
      <c r="O16" s="25"/>
      <c r="P16" s="51">
        <f t="shared" si="1"/>
        <v>4</v>
      </c>
      <c r="Q16" s="78">
        <f t="shared" si="4"/>
        <v>0</v>
      </c>
      <c r="R16" s="273">
        <f t="shared" si="2"/>
        <v>4</v>
      </c>
      <c r="S16" s="270">
        <v>370000</v>
      </c>
      <c r="T16" s="52">
        <f t="shared" si="3"/>
        <v>1480000</v>
      </c>
      <c r="U16" s="370"/>
      <c r="V16" s="355"/>
    </row>
    <row r="17" spans="1:22" s="31" customFormat="1" x14ac:dyDescent="0.3">
      <c r="A17" s="61">
        <f t="shared" si="5"/>
        <v>14</v>
      </c>
      <c r="B17" s="28" t="s">
        <v>62</v>
      </c>
      <c r="C17" s="48"/>
      <c r="D17" s="203" t="s">
        <v>4</v>
      </c>
      <c r="E17" s="41"/>
      <c r="F17" s="21"/>
      <c r="G17" s="21"/>
      <c r="H17" s="35"/>
      <c r="I17" s="21"/>
      <c r="J17" s="21"/>
      <c r="K17" s="210"/>
      <c r="L17" s="210"/>
      <c r="M17" s="210"/>
      <c r="N17" s="210"/>
      <c r="O17" s="25"/>
      <c r="P17" s="51">
        <f t="shared" si="1"/>
        <v>0</v>
      </c>
      <c r="Q17" s="78">
        <f t="shared" si="4"/>
        <v>0</v>
      </c>
      <c r="R17" s="273">
        <f t="shared" si="2"/>
        <v>0</v>
      </c>
      <c r="S17" s="270">
        <v>360000</v>
      </c>
      <c r="T17" s="52">
        <f t="shared" si="3"/>
        <v>0</v>
      </c>
      <c r="U17" s="370"/>
      <c r="V17" s="355"/>
    </row>
    <row r="18" spans="1:22" s="31" customFormat="1" x14ac:dyDescent="0.3">
      <c r="A18" s="61">
        <f t="shared" si="5"/>
        <v>15</v>
      </c>
      <c r="B18" s="28" t="s">
        <v>63</v>
      </c>
      <c r="C18" s="48" t="s">
        <v>60</v>
      </c>
      <c r="D18" s="203" t="s">
        <v>4</v>
      </c>
      <c r="E18" s="41"/>
      <c r="F18" s="21" t="s">
        <v>9</v>
      </c>
      <c r="G18" s="21" t="s">
        <v>9</v>
      </c>
      <c r="H18" s="35" t="s">
        <v>9</v>
      </c>
      <c r="I18" s="21" t="s">
        <v>9</v>
      </c>
      <c r="J18" s="21" t="s">
        <v>9</v>
      </c>
      <c r="K18" s="210" t="s">
        <v>9</v>
      </c>
      <c r="L18" s="210"/>
      <c r="M18" s="210" t="s">
        <v>9</v>
      </c>
      <c r="N18" s="210" t="s">
        <v>9</v>
      </c>
      <c r="O18" s="25" t="s">
        <v>9</v>
      </c>
      <c r="P18" s="51">
        <f t="shared" si="1"/>
        <v>9</v>
      </c>
      <c r="Q18" s="78">
        <f t="shared" si="4"/>
        <v>0</v>
      </c>
      <c r="R18" s="273">
        <f t="shared" si="2"/>
        <v>9</v>
      </c>
      <c r="S18" s="270">
        <v>380000</v>
      </c>
      <c r="T18" s="52">
        <f t="shared" si="3"/>
        <v>3420000</v>
      </c>
      <c r="U18" s="370"/>
      <c r="V18" s="355"/>
    </row>
    <row r="19" spans="1:22" s="31" customFormat="1" x14ac:dyDescent="0.3">
      <c r="A19" s="61">
        <f t="shared" si="5"/>
        <v>16</v>
      </c>
      <c r="B19" s="28" t="s">
        <v>59</v>
      </c>
      <c r="C19" s="48" t="s">
        <v>60</v>
      </c>
      <c r="D19" s="203" t="s">
        <v>5</v>
      </c>
      <c r="E19" s="41"/>
      <c r="F19" s="21"/>
      <c r="G19" s="21"/>
      <c r="H19" s="35"/>
      <c r="I19" s="21"/>
      <c r="J19" s="21"/>
      <c r="K19" s="210"/>
      <c r="L19" s="210"/>
      <c r="M19" s="210"/>
      <c r="N19" s="210"/>
      <c r="O19" s="25"/>
      <c r="P19" s="51">
        <f t="shared" si="1"/>
        <v>0</v>
      </c>
      <c r="Q19" s="78">
        <f t="shared" si="4"/>
        <v>0</v>
      </c>
      <c r="R19" s="273">
        <f t="shared" si="2"/>
        <v>0</v>
      </c>
      <c r="S19" s="270">
        <v>270000</v>
      </c>
      <c r="T19" s="52">
        <f t="shared" si="3"/>
        <v>0</v>
      </c>
      <c r="U19" s="370"/>
      <c r="V19" s="355"/>
    </row>
    <row r="20" spans="1:22" s="31" customFormat="1" x14ac:dyDescent="0.3">
      <c r="A20" s="61">
        <f t="shared" si="5"/>
        <v>17</v>
      </c>
      <c r="B20" s="28" t="s">
        <v>64</v>
      </c>
      <c r="C20" s="48" t="s">
        <v>60</v>
      </c>
      <c r="D20" s="203" t="s">
        <v>4</v>
      </c>
      <c r="E20" s="41"/>
      <c r="F20" s="21"/>
      <c r="G20" s="21"/>
      <c r="H20" s="35"/>
      <c r="I20" s="21"/>
      <c r="J20" s="21"/>
      <c r="K20" s="210"/>
      <c r="L20" s="210"/>
      <c r="M20" s="210"/>
      <c r="N20" s="210"/>
      <c r="O20" s="25"/>
      <c r="P20" s="51">
        <f t="shared" si="1"/>
        <v>0</v>
      </c>
      <c r="Q20" s="78">
        <f t="shared" si="4"/>
        <v>0</v>
      </c>
      <c r="R20" s="273">
        <f t="shared" si="2"/>
        <v>0</v>
      </c>
      <c r="S20" s="270">
        <v>380000</v>
      </c>
      <c r="T20" s="52">
        <f t="shared" si="3"/>
        <v>0</v>
      </c>
      <c r="U20" s="370"/>
      <c r="V20" s="355"/>
    </row>
    <row r="21" spans="1:22" s="55" customFormat="1" x14ac:dyDescent="0.3">
      <c r="A21" s="61">
        <f t="shared" si="5"/>
        <v>18</v>
      </c>
      <c r="B21" s="158" t="s">
        <v>65</v>
      </c>
      <c r="C21" s="29" t="s">
        <v>60</v>
      </c>
      <c r="D21" s="203" t="s">
        <v>4</v>
      </c>
      <c r="E21" s="41"/>
      <c r="F21" s="21"/>
      <c r="G21" s="21"/>
      <c r="H21" s="35"/>
      <c r="I21" s="21"/>
      <c r="J21" s="21"/>
      <c r="K21" s="210"/>
      <c r="L21" s="210"/>
      <c r="M21" s="210"/>
      <c r="N21" s="210"/>
      <c r="O21" s="25"/>
      <c r="P21" s="51">
        <f t="shared" si="1"/>
        <v>0</v>
      </c>
      <c r="Q21" s="78">
        <f t="shared" si="4"/>
        <v>0</v>
      </c>
      <c r="R21" s="273">
        <f t="shared" si="2"/>
        <v>0</v>
      </c>
      <c r="S21" s="270">
        <v>370000</v>
      </c>
      <c r="T21" s="52">
        <f t="shared" si="3"/>
        <v>0</v>
      </c>
      <c r="U21" s="370"/>
      <c r="V21" s="358"/>
    </row>
    <row r="22" spans="1:22" s="31" customFormat="1" x14ac:dyDescent="0.3">
      <c r="A22" s="61">
        <f t="shared" si="5"/>
        <v>19</v>
      </c>
      <c r="B22" s="48" t="s">
        <v>126</v>
      </c>
      <c r="C22" s="48"/>
      <c r="D22" s="204" t="s">
        <v>5</v>
      </c>
      <c r="E22" s="41"/>
      <c r="F22" s="21" t="s">
        <v>9</v>
      </c>
      <c r="G22" s="21" t="s">
        <v>9</v>
      </c>
      <c r="H22" s="35" t="s">
        <v>9</v>
      </c>
      <c r="I22" s="21" t="s">
        <v>9</v>
      </c>
      <c r="J22" s="21" t="s">
        <v>9</v>
      </c>
      <c r="K22" s="210" t="s">
        <v>9</v>
      </c>
      <c r="L22" s="210"/>
      <c r="M22" s="210" t="s">
        <v>9</v>
      </c>
      <c r="N22" s="210" t="s">
        <v>9</v>
      </c>
      <c r="O22" s="25" t="s">
        <v>9</v>
      </c>
      <c r="P22" s="51">
        <f t="shared" si="1"/>
        <v>9</v>
      </c>
      <c r="Q22" s="78">
        <f t="shared" si="4"/>
        <v>0</v>
      </c>
      <c r="R22" s="273">
        <f t="shared" si="2"/>
        <v>9</v>
      </c>
      <c r="S22" s="269">
        <v>280000</v>
      </c>
      <c r="T22" s="52">
        <f t="shared" si="3"/>
        <v>2520000</v>
      </c>
      <c r="U22" s="370"/>
      <c r="V22" s="355"/>
    </row>
    <row r="23" spans="1:22" s="31" customFormat="1" x14ac:dyDescent="0.3">
      <c r="A23" s="61">
        <f t="shared" si="5"/>
        <v>20</v>
      </c>
      <c r="B23" s="116" t="s">
        <v>143</v>
      </c>
      <c r="C23" s="116"/>
      <c r="D23" s="205" t="s">
        <v>4</v>
      </c>
      <c r="E23" s="41"/>
      <c r="F23" s="21" t="s">
        <v>9</v>
      </c>
      <c r="G23" s="21" t="s">
        <v>9</v>
      </c>
      <c r="H23" s="35" t="s">
        <v>9</v>
      </c>
      <c r="I23" s="21" t="s">
        <v>9</v>
      </c>
      <c r="J23" s="21"/>
      <c r="K23" s="210" t="s">
        <v>9</v>
      </c>
      <c r="L23" s="210"/>
      <c r="M23" s="210" t="s">
        <v>9</v>
      </c>
      <c r="N23" s="210" t="s">
        <v>9</v>
      </c>
      <c r="O23" s="25" t="s">
        <v>9</v>
      </c>
      <c r="P23" s="51">
        <f t="shared" si="1"/>
        <v>8</v>
      </c>
      <c r="Q23" s="78">
        <f t="shared" si="4"/>
        <v>0</v>
      </c>
      <c r="R23" s="273">
        <f t="shared" si="2"/>
        <v>8</v>
      </c>
      <c r="S23" s="270">
        <v>380000</v>
      </c>
      <c r="T23" s="52">
        <f t="shared" si="3"/>
        <v>3040000</v>
      </c>
      <c r="U23" s="371"/>
      <c r="V23" s="359"/>
    </row>
    <row r="24" spans="1:22" s="31" customFormat="1" x14ac:dyDescent="0.3">
      <c r="A24" s="61">
        <f t="shared" si="5"/>
        <v>21</v>
      </c>
      <c r="B24" s="116" t="s">
        <v>144</v>
      </c>
      <c r="C24" s="116"/>
      <c r="D24" s="205" t="s">
        <v>4</v>
      </c>
      <c r="E24" s="41"/>
      <c r="F24" s="21" t="s">
        <v>9</v>
      </c>
      <c r="G24" s="21" t="s">
        <v>9</v>
      </c>
      <c r="H24" s="35" t="s">
        <v>9</v>
      </c>
      <c r="I24" s="21" t="s">
        <v>9</v>
      </c>
      <c r="J24" s="21"/>
      <c r="K24" s="210" t="s">
        <v>9</v>
      </c>
      <c r="L24" s="210"/>
      <c r="M24" s="210" t="s">
        <v>9</v>
      </c>
      <c r="N24" s="210" t="s">
        <v>9</v>
      </c>
      <c r="O24" s="25" t="s">
        <v>9</v>
      </c>
      <c r="P24" s="51">
        <f t="shared" si="1"/>
        <v>8</v>
      </c>
      <c r="Q24" s="78">
        <f t="shared" si="4"/>
        <v>0</v>
      </c>
      <c r="R24" s="273">
        <f t="shared" si="2"/>
        <v>8</v>
      </c>
      <c r="S24" s="270">
        <v>280000</v>
      </c>
      <c r="T24" s="52">
        <f t="shared" si="3"/>
        <v>2240000</v>
      </c>
      <c r="U24" s="371"/>
      <c r="V24" s="359"/>
    </row>
    <row r="25" spans="1:22" s="31" customFormat="1" x14ac:dyDescent="0.3">
      <c r="A25" s="61">
        <f t="shared" si="5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10"/>
      <c r="O25" s="25"/>
      <c r="P25" s="51">
        <f t="shared" si="1"/>
        <v>0</v>
      </c>
      <c r="Q25" s="78">
        <f t="shared" si="4"/>
        <v>0</v>
      </c>
      <c r="R25" s="273">
        <f t="shared" si="2"/>
        <v>0</v>
      </c>
      <c r="S25" s="270">
        <v>270000</v>
      </c>
      <c r="T25" s="52">
        <f t="shared" si="3"/>
        <v>0</v>
      </c>
      <c r="U25" s="371"/>
      <c r="V25" s="359"/>
    </row>
    <row r="26" spans="1:22" s="31" customFormat="1" x14ac:dyDescent="0.3">
      <c r="A26" s="61">
        <f t="shared" si="5"/>
        <v>23</v>
      </c>
      <c r="B26" s="116" t="s">
        <v>171</v>
      </c>
      <c r="C26" s="116"/>
      <c r="D26" s="205" t="s">
        <v>5</v>
      </c>
      <c r="E26" s="127"/>
      <c r="F26" s="21" t="s">
        <v>9</v>
      </c>
      <c r="G26" s="21" t="s">
        <v>9</v>
      </c>
      <c r="H26" s="35" t="s">
        <v>9</v>
      </c>
      <c r="I26" s="21" t="s">
        <v>9</v>
      </c>
      <c r="J26" s="21" t="s">
        <v>9</v>
      </c>
      <c r="K26" s="210" t="s">
        <v>9</v>
      </c>
      <c r="L26" s="210"/>
      <c r="M26" s="210" t="s">
        <v>9</v>
      </c>
      <c r="N26" s="210" t="s">
        <v>9</v>
      </c>
      <c r="O26" s="25"/>
      <c r="P26" s="51">
        <f t="shared" si="1"/>
        <v>8</v>
      </c>
      <c r="Q26" s="78">
        <f t="shared" si="4"/>
        <v>0</v>
      </c>
      <c r="R26" s="273">
        <f t="shared" si="2"/>
        <v>8</v>
      </c>
      <c r="S26" s="270">
        <v>280000</v>
      </c>
      <c r="T26" s="53">
        <f t="shared" si="3"/>
        <v>2240000</v>
      </c>
      <c r="U26" s="371"/>
      <c r="V26" s="359"/>
    </row>
    <row r="27" spans="1:22" s="31" customFormat="1" x14ac:dyDescent="0.3">
      <c r="A27" s="61">
        <f t="shared" si="5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211"/>
      <c r="O27" s="33"/>
      <c r="P27" s="51">
        <f t="shared" si="1"/>
        <v>0</v>
      </c>
      <c r="Q27" s="78">
        <f t="shared" si="4"/>
        <v>0</v>
      </c>
      <c r="R27" s="273">
        <f t="shared" si="2"/>
        <v>0</v>
      </c>
      <c r="S27" s="270">
        <v>370000</v>
      </c>
      <c r="T27" s="53">
        <f t="shared" si="3"/>
        <v>0</v>
      </c>
      <c r="U27" s="371"/>
      <c r="V27" s="359"/>
    </row>
    <row r="28" spans="1:22" s="55" customFormat="1" x14ac:dyDescent="0.3">
      <c r="A28" s="294">
        <v>25</v>
      </c>
      <c r="B28" s="159" t="s">
        <v>194</v>
      </c>
      <c r="C28" s="159"/>
      <c r="D28" s="206" t="s">
        <v>4</v>
      </c>
      <c r="E28" s="127"/>
      <c r="F28" s="32"/>
      <c r="G28" s="32"/>
      <c r="H28" s="36"/>
      <c r="I28" s="32" t="s">
        <v>9</v>
      </c>
      <c r="J28" s="32" t="s">
        <v>9</v>
      </c>
      <c r="K28" s="211" t="s">
        <v>9</v>
      </c>
      <c r="L28" s="211"/>
      <c r="M28" s="211" t="s">
        <v>9</v>
      </c>
      <c r="N28" s="211" t="s">
        <v>9</v>
      </c>
      <c r="O28" s="33" t="s">
        <v>9</v>
      </c>
      <c r="P28" s="51">
        <f t="shared" si="1"/>
        <v>6</v>
      </c>
      <c r="Q28" s="78">
        <f t="shared" si="4"/>
        <v>0</v>
      </c>
      <c r="R28" s="273">
        <f t="shared" si="2"/>
        <v>6</v>
      </c>
      <c r="S28" s="270">
        <v>400000</v>
      </c>
      <c r="T28" s="53">
        <f t="shared" si="3"/>
        <v>2400000</v>
      </c>
      <c r="U28" s="371"/>
      <c r="V28" s="364"/>
    </row>
    <row r="29" spans="1:22" s="55" customFormat="1" x14ac:dyDescent="0.3">
      <c r="A29" s="294">
        <f t="shared" si="5"/>
        <v>26</v>
      </c>
      <c r="B29" s="159" t="s">
        <v>220</v>
      </c>
      <c r="C29" s="159"/>
      <c r="D29" s="206" t="s">
        <v>4</v>
      </c>
      <c r="E29" s="127"/>
      <c r="F29" s="32" t="s">
        <v>9</v>
      </c>
      <c r="G29" s="32"/>
      <c r="H29" s="36" t="s">
        <v>9</v>
      </c>
      <c r="I29" s="32" t="s">
        <v>9</v>
      </c>
      <c r="J29" s="32" t="s">
        <v>9</v>
      </c>
      <c r="K29" s="211" t="s">
        <v>9</v>
      </c>
      <c r="L29" s="211"/>
      <c r="M29" s="211" t="s">
        <v>9</v>
      </c>
      <c r="N29" s="211" t="s">
        <v>9</v>
      </c>
      <c r="O29" s="33"/>
      <c r="P29" s="51">
        <f t="shared" si="1"/>
        <v>7</v>
      </c>
      <c r="Q29" s="78">
        <f t="shared" si="4"/>
        <v>0</v>
      </c>
      <c r="R29" s="273">
        <f t="shared" si="2"/>
        <v>7</v>
      </c>
      <c r="S29" s="270">
        <v>370000</v>
      </c>
      <c r="T29" s="53">
        <f t="shared" si="3"/>
        <v>2590000</v>
      </c>
      <c r="U29" s="354"/>
      <c r="V29" s="364"/>
    </row>
    <row r="30" spans="1:22" s="55" customFormat="1" x14ac:dyDescent="0.3">
      <c r="A30" s="294">
        <f t="shared" si="5"/>
        <v>27</v>
      </c>
      <c r="B30" s="159" t="s">
        <v>221</v>
      </c>
      <c r="C30" s="159"/>
      <c r="D30" s="206" t="s">
        <v>4</v>
      </c>
      <c r="E30" s="127"/>
      <c r="F30" s="32"/>
      <c r="G30" s="32"/>
      <c r="H30" s="36"/>
      <c r="I30" s="32"/>
      <c r="J30" s="32"/>
      <c r="K30" s="211"/>
      <c r="L30" s="211"/>
      <c r="M30" s="211"/>
      <c r="N30" s="211"/>
      <c r="O30" s="33"/>
      <c r="P30" s="51">
        <f t="shared" si="1"/>
        <v>0</v>
      </c>
      <c r="Q30" s="78">
        <f t="shared" si="4"/>
        <v>0</v>
      </c>
      <c r="R30" s="273">
        <f t="shared" si="2"/>
        <v>0</v>
      </c>
      <c r="S30" s="270">
        <v>380000</v>
      </c>
      <c r="T30" s="53">
        <f t="shared" si="3"/>
        <v>0</v>
      </c>
      <c r="U30" s="372"/>
      <c r="V30" s="361"/>
    </row>
    <row r="31" spans="1:22" s="31" customFormat="1" x14ac:dyDescent="0.3">
      <c r="A31" s="61">
        <f t="shared" si="5"/>
        <v>28</v>
      </c>
      <c r="B31" s="48" t="s">
        <v>222</v>
      </c>
      <c r="C31" s="48"/>
      <c r="D31" s="204" t="s">
        <v>4</v>
      </c>
      <c r="E31" s="41"/>
      <c r="F31" s="32" t="s">
        <v>9</v>
      </c>
      <c r="G31" s="32" t="s">
        <v>9</v>
      </c>
      <c r="H31" s="36" t="s">
        <v>9</v>
      </c>
      <c r="I31" s="32" t="s">
        <v>9</v>
      </c>
      <c r="J31" s="32" t="s">
        <v>9</v>
      </c>
      <c r="K31" s="211" t="s">
        <v>9</v>
      </c>
      <c r="L31" s="211"/>
      <c r="M31" s="211" t="s">
        <v>9</v>
      </c>
      <c r="N31" s="211" t="s">
        <v>9</v>
      </c>
      <c r="O31" s="33" t="s">
        <v>9</v>
      </c>
      <c r="P31" s="51">
        <f t="shared" si="1"/>
        <v>9</v>
      </c>
      <c r="Q31" s="78">
        <f t="shared" si="4"/>
        <v>0</v>
      </c>
      <c r="R31" s="273">
        <f t="shared" si="2"/>
        <v>9</v>
      </c>
      <c r="S31" s="270">
        <v>360000</v>
      </c>
      <c r="T31" s="53">
        <f t="shared" si="3"/>
        <v>3240000</v>
      </c>
      <c r="U31" s="371"/>
      <c r="V31" s="359"/>
    </row>
    <row r="32" spans="1:22" s="31" customFormat="1" x14ac:dyDescent="0.3">
      <c r="A32" s="61">
        <f t="shared" si="5"/>
        <v>29</v>
      </c>
      <c r="B32" s="116" t="s">
        <v>223</v>
      </c>
      <c r="C32" s="116"/>
      <c r="D32" s="205" t="s">
        <v>5</v>
      </c>
      <c r="E32" s="41"/>
      <c r="F32" s="32"/>
      <c r="G32" s="32"/>
      <c r="H32" s="36"/>
      <c r="I32" s="32"/>
      <c r="J32" s="32"/>
      <c r="K32" s="211"/>
      <c r="L32" s="211"/>
      <c r="M32" s="211"/>
      <c r="N32" s="211"/>
      <c r="O32" s="33"/>
      <c r="P32" s="51">
        <f t="shared" si="1"/>
        <v>0</v>
      </c>
      <c r="Q32" s="78">
        <f t="shared" si="4"/>
        <v>0</v>
      </c>
      <c r="R32" s="273">
        <f t="shared" si="2"/>
        <v>0</v>
      </c>
      <c r="S32" s="270">
        <v>280000</v>
      </c>
      <c r="T32" s="53">
        <f>R32*S32</f>
        <v>0</v>
      </c>
      <c r="U32" s="371"/>
      <c r="V32" s="359"/>
    </row>
    <row r="33" spans="1:23" s="31" customFormat="1" x14ac:dyDescent="0.3">
      <c r="A33" s="61">
        <f>A32+1</f>
        <v>30</v>
      </c>
      <c r="B33" s="116" t="s">
        <v>224</v>
      </c>
      <c r="C33" s="116"/>
      <c r="D33" s="205" t="s">
        <v>4</v>
      </c>
      <c r="E33" s="127"/>
      <c r="F33" s="32"/>
      <c r="G33" s="32"/>
      <c r="H33" s="36"/>
      <c r="I33" s="32"/>
      <c r="J33" s="32"/>
      <c r="K33" s="211"/>
      <c r="L33" s="211"/>
      <c r="M33" s="211"/>
      <c r="N33" s="211"/>
      <c r="O33" s="33"/>
      <c r="P33" s="51">
        <f t="shared" si="1"/>
        <v>0</v>
      </c>
      <c r="Q33" s="78">
        <f t="shared" si="4"/>
        <v>0</v>
      </c>
      <c r="R33" s="273">
        <f t="shared" si="2"/>
        <v>0</v>
      </c>
      <c r="S33" s="270">
        <v>370000</v>
      </c>
      <c r="T33" s="53">
        <f t="shared" si="3"/>
        <v>0</v>
      </c>
      <c r="U33" s="371"/>
      <c r="V33" s="359"/>
    </row>
    <row r="34" spans="1:23" s="31" customFormat="1" x14ac:dyDescent="0.3">
      <c r="A34" s="61">
        <f t="shared" si="5"/>
        <v>31</v>
      </c>
      <c r="B34" s="116" t="s">
        <v>225</v>
      </c>
      <c r="C34" s="116"/>
      <c r="D34" s="205" t="s">
        <v>5</v>
      </c>
      <c r="E34" s="127"/>
      <c r="F34" s="32"/>
      <c r="G34" s="32"/>
      <c r="H34" s="36"/>
      <c r="I34" s="32"/>
      <c r="J34" s="32"/>
      <c r="K34" s="211"/>
      <c r="L34" s="211"/>
      <c r="M34" s="211"/>
      <c r="N34" s="211"/>
      <c r="O34" s="33"/>
      <c r="P34" s="51">
        <f t="shared" si="1"/>
        <v>0</v>
      </c>
      <c r="Q34" s="78">
        <f t="shared" si="4"/>
        <v>0</v>
      </c>
      <c r="R34" s="273">
        <f t="shared" si="2"/>
        <v>0</v>
      </c>
      <c r="S34" s="270">
        <v>270000</v>
      </c>
      <c r="T34" s="53">
        <f t="shared" si="3"/>
        <v>0</v>
      </c>
      <c r="U34" s="371"/>
      <c r="V34" s="359"/>
    </row>
    <row r="35" spans="1:23" s="31" customFormat="1" x14ac:dyDescent="0.3">
      <c r="A35" s="61">
        <f t="shared" si="5"/>
        <v>32</v>
      </c>
      <c r="B35" s="116" t="s">
        <v>226</v>
      </c>
      <c r="C35" s="116"/>
      <c r="D35" s="205" t="s">
        <v>4</v>
      </c>
      <c r="E35" s="127"/>
      <c r="F35" s="32"/>
      <c r="G35" s="32"/>
      <c r="H35" s="36"/>
      <c r="I35" s="32"/>
      <c r="J35" s="32"/>
      <c r="K35" s="211"/>
      <c r="L35" s="211"/>
      <c r="M35" s="211"/>
      <c r="N35" s="211"/>
      <c r="O35" s="33"/>
      <c r="P35" s="51">
        <f t="shared" si="1"/>
        <v>0</v>
      </c>
      <c r="Q35" s="78">
        <f t="shared" si="4"/>
        <v>0</v>
      </c>
      <c r="R35" s="273">
        <f t="shared" si="2"/>
        <v>0</v>
      </c>
      <c r="S35" s="270">
        <v>360000</v>
      </c>
      <c r="T35" s="53">
        <f t="shared" si="3"/>
        <v>0</v>
      </c>
      <c r="U35" s="371"/>
      <c r="V35" s="359"/>
    </row>
    <row r="36" spans="1:23" s="55" customFormat="1" ht="19.2" customHeight="1" x14ac:dyDescent="0.3">
      <c r="A36" s="294">
        <f t="shared" si="5"/>
        <v>33</v>
      </c>
      <c r="B36" s="159" t="s">
        <v>229</v>
      </c>
      <c r="C36" s="159"/>
      <c r="D36" s="206" t="s">
        <v>5</v>
      </c>
      <c r="E36" s="127"/>
      <c r="F36" s="32" t="s">
        <v>9</v>
      </c>
      <c r="G36" s="32" t="s">
        <v>9</v>
      </c>
      <c r="H36" s="36" t="s">
        <v>9</v>
      </c>
      <c r="I36" s="32" t="s">
        <v>9</v>
      </c>
      <c r="J36" s="32" t="s">
        <v>9</v>
      </c>
      <c r="K36" s="211" t="s">
        <v>9</v>
      </c>
      <c r="L36" s="211"/>
      <c r="M36" s="211"/>
      <c r="N36" s="211" t="s">
        <v>9</v>
      </c>
      <c r="O36" s="33" t="s">
        <v>9</v>
      </c>
      <c r="P36" s="51">
        <f t="shared" si="1"/>
        <v>8</v>
      </c>
      <c r="Q36" s="78">
        <f t="shared" si="4"/>
        <v>0</v>
      </c>
      <c r="R36" s="273">
        <f t="shared" si="2"/>
        <v>8</v>
      </c>
      <c r="S36" s="270">
        <v>280000</v>
      </c>
      <c r="T36" s="53">
        <f>R36*S36</f>
        <v>2240000</v>
      </c>
      <c r="U36" s="371"/>
      <c r="V36" s="362"/>
      <c r="W36" s="295"/>
    </row>
    <row r="37" spans="1:23" s="55" customFormat="1" x14ac:dyDescent="0.3">
      <c r="A37" s="61">
        <f t="shared" si="5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211"/>
      <c r="O37" s="33"/>
      <c r="P37" s="51">
        <f t="shared" si="1"/>
        <v>0</v>
      </c>
      <c r="Q37" s="78">
        <f t="shared" si="4"/>
        <v>0</v>
      </c>
      <c r="R37" s="273">
        <f t="shared" si="2"/>
        <v>0</v>
      </c>
      <c r="S37" s="270">
        <v>260000</v>
      </c>
      <c r="T37" s="53">
        <f t="shared" si="3"/>
        <v>0</v>
      </c>
      <c r="U37" s="371"/>
      <c r="V37" s="362"/>
    </row>
    <row r="38" spans="1:23" s="31" customFormat="1" x14ac:dyDescent="0.3">
      <c r="A38" s="61">
        <f t="shared" si="5"/>
        <v>35</v>
      </c>
      <c r="B38" s="116" t="s">
        <v>231</v>
      </c>
      <c r="C38" s="116"/>
      <c r="D38" s="205" t="s">
        <v>4</v>
      </c>
      <c r="E38" s="127"/>
      <c r="F38" s="32" t="s">
        <v>9</v>
      </c>
      <c r="G38" s="32" t="s">
        <v>9</v>
      </c>
      <c r="H38" s="36" t="s">
        <v>9</v>
      </c>
      <c r="I38" s="32" t="s">
        <v>9</v>
      </c>
      <c r="J38" s="32" t="s">
        <v>9</v>
      </c>
      <c r="K38" s="211" t="s">
        <v>9</v>
      </c>
      <c r="L38" s="211"/>
      <c r="M38" s="211" t="s">
        <v>9</v>
      </c>
      <c r="N38" s="211" t="s">
        <v>9</v>
      </c>
      <c r="O38" s="33" t="s">
        <v>9</v>
      </c>
      <c r="P38" s="51">
        <f t="shared" si="1"/>
        <v>9</v>
      </c>
      <c r="Q38" s="78">
        <f t="shared" si="4"/>
        <v>0</v>
      </c>
      <c r="R38" s="273">
        <f t="shared" si="2"/>
        <v>9</v>
      </c>
      <c r="S38" s="270">
        <v>360000</v>
      </c>
      <c r="T38" s="53">
        <f t="shared" si="3"/>
        <v>3240000</v>
      </c>
      <c r="U38" s="371"/>
      <c r="V38" s="359"/>
    </row>
    <row r="39" spans="1:23" s="31" customFormat="1" x14ac:dyDescent="0.3">
      <c r="A39" s="61">
        <f t="shared" si="5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211"/>
      <c r="O39" s="33"/>
      <c r="P39" s="51">
        <f t="shared" si="1"/>
        <v>0</v>
      </c>
      <c r="Q39" s="78">
        <f t="shared" si="4"/>
        <v>0</v>
      </c>
      <c r="R39" s="273">
        <f t="shared" si="2"/>
        <v>0</v>
      </c>
      <c r="S39" s="270">
        <v>360000</v>
      </c>
      <c r="T39" s="53">
        <f t="shared" si="3"/>
        <v>0</v>
      </c>
      <c r="U39" s="371"/>
      <c r="V39" s="359"/>
    </row>
    <row r="40" spans="1:23" s="31" customFormat="1" x14ac:dyDescent="0.3">
      <c r="A40" s="61">
        <f t="shared" si="5"/>
        <v>37</v>
      </c>
      <c r="B40" s="116" t="s">
        <v>233</v>
      </c>
      <c r="C40" s="116"/>
      <c r="D40" s="205" t="s">
        <v>5</v>
      </c>
      <c r="E40" s="127"/>
      <c r="F40" s="32" t="s">
        <v>9</v>
      </c>
      <c r="G40" s="32" t="s">
        <v>9</v>
      </c>
      <c r="H40" s="36" t="s">
        <v>9</v>
      </c>
      <c r="I40" s="32"/>
      <c r="J40" s="32" t="s">
        <v>9</v>
      </c>
      <c r="K40" s="211" t="s">
        <v>9</v>
      </c>
      <c r="L40" s="211"/>
      <c r="M40" s="211" t="s">
        <v>9</v>
      </c>
      <c r="N40" s="211" t="s">
        <v>9</v>
      </c>
      <c r="O40" s="33" t="s">
        <v>9</v>
      </c>
      <c r="P40" s="51">
        <f t="shared" si="1"/>
        <v>8</v>
      </c>
      <c r="Q40" s="78">
        <f t="shared" si="4"/>
        <v>0</v>
      </c>
      <c r="R40" s="273">
        <f t="shared" si="2"/>
        <v>8</v>
      </c>
      <c r="S40" s="270">
        <v>260000</v>
      </c>
      <c r="T40" s="53">
        <f t="shared" si="3"/>
        <v>2080000</v>
      </c>
      <c r="U40" s="371"/>
      <c r="V40" s="359"/>
    </row>
    <row r="41" spans="1:23" s="31" customFormat="1" x14ac:dyDescent="0.3">
      <c r="A41" s="61">
        <f t="shared" si="5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211"/>
      <c r="O41" s="33"/>
      <c r="P41" s="51">
        <f t="shared" si="1"/>
        <v>0</v>
      </c>
      <c r="Q41" s="78">
        <f t="shared" si="4"/>
        <v>0</v>
      </c>
      <c r="R41" s="273">
        <f t="shared" si="2"/>
        <v>0</v>
      </c>
      <c r="S41" s="270">
        <v>370000</v>
      </c>
      <c r="T41" s="53">
        <f t="shared" si="3"/>
        <v>0</v>
      </c>
      <c r="U41" s="371"/>
      <c r="V41" s="359"/>
    </row>
    <row r="42" spans="1:23" s="31" customFormat="1" x14ac:dyDescent="0.3">
      <c r="A42" s="61">
        <f t="shared" si="5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211"/>
      <c r="O42" s="33"/>
      <c r="P42" s="51">
        <f t="shared" si="1"/>
        <v>0</v>
      </c>
      <c r="Q42" s="78">
        <f t="shared" si="4"/>
        <v>0</v>
      </c>
      <c r="R42" s="273">
        <f t="shared" si="2"/>
        <v>0</v>
      </c>
      <c r="S42" s="270">
        <v>270000</v>
      </c>
      <c r="T42" s="53">
        <f t="shared" si="3"/>
        <v>0</v>
      </c>
      <c r="U42" s="371"/>
      <c r="V42" s="359"/>
    </row>
    <row r="43" spans="1:23" s="55" customFormat="1" ht="19.2" customHeight="1" x14ac:dyDescent="0.3">
      <c r="A43" s="294">
        <f t="shared" si="5"/>
        <v>40</v>
      </c>
      <c r="B43" s="159" t="s">
        <v>235</v>
      </c>
      <c r="C43" s="159"/>
      <c r="D43" s="206" t="s">
        <v>4</v>
      </c>
      <c r="E43" s="127"/>
      <c r="F43" s="32" t="s">
        <v>9</v>
      </c>
      <c r="G43" s="32" t="s">
        <v>9</v>
      </c>
      <c r="H43" s="36" t="s">
        <v>9</v>
      </c>
      <c r="I43" s="32" t="s">
        <v>9</v>
      </c>
      <c r="J43" s="32" t="s">
        <v>9</v>
      </c>
      <c r="K43" s="211" t="s">
        <v>9</v>
      </c>
      <c r="L43" s="211"/>
      <c r="M43" s="211" t="s">
        <v>9</v>
      </c>
      <c r="N43" s="211" t="s">
        <v>9</v>
      </c>
      <c r="O43" s="33"/>
      <c r="P43" s="51">
        <f t="shared" si="1"/>
        <v>8</v>
      </c>
      <c r="Q43" s="78">
        <f t="shared" si="4"/>
        <v>0</v>
      </c>
      <c r="R43" s="273">
        <f t="shared" si="2"/>
        <v>8</v>
      </c>
      <c r="S43" s="270">
        <v>370000</v>
      </c>
      <c r="T43" s="53">
        <f>R43*S43</f>
        <v>2960000</v>
      </c>
      <c r="U43" s="371"/>
      <c r="V43" s="362"/>
      <c r="W43" s="295"/>
    </row>
    <row r="44" spans="1:23" s="31" customFormat="1" x14ac:dyDescent="0.3">
      <c r="A44" s="61">
        <f t="shared" si="5"/>
        <v>41</v>
      </c>
      <c r="B44" s="116" t="s">
        <v>237</v>
      </c>
      <c r="C44" s="116"/>
      <c r="D44" s="205" t="s">
        <v>5</v>
      </c>
      <c r="E44" s="127"/>
      <c r="F44" s="32" t="s">
        <v>9</v>
      </c>
      <c r="G44" s="32" t="s">
        <v>9</v>
      </c>
      <c r="H44" s="36" t="s">
        <v>9</v>
      </c>
      <c r="I44" s="32" t="s">
        <v>9</v>
      </c>
      <c r="J44" s="32" t="s">
        <v>9</v>
      </c>
      <c r="K44" s="211" t="s">
        <v>9</v>
      </c>
      <c r="L44" s="211"/>
      <c r="M44" s="211" t="s">
        <v>9</v>
      </c>
      <c r="N44" s="211" t="s">
        <v>9</v>
      </c>
      <c r="O44" s="33"/>
      <c r="P44" s="51">
        <f t="shared" si="1"/>
        <v>8</v>
      </c>
      <c r="Q44" s="78">
        <f t="shared" si="4"/>
        <v>0</v>
      </c>
      <c r="R44" s="273">
        <f t="shared" si="2"/>
        <v>8</v>
      </c>
      <c r="S44" s="270">
        <v>270000</v>
      </c>
      <c r="T44" s="53">
        <f t="shared" si="3"/>
        <v>2160000</v>
      </c>
      <c r="U44" s="371"/>
      <c r="V44" s="359"/>
    </row>
    <row r="45" spans="1:23" s="31" customFormat="1" x14ac:dyDescent="0.3">
      <c r="A45" s="61">
        <f t="shared" si="5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211"/>
      <c r="O45" s="33"/>
      <c r="P45" s="51">
        <f t="shared" si="1"/>
        <v>0</v>
      </c>
      <c r="Q45" s="78">
        <f t="shared" si="4"/>
        <v>0</v>
      </c>
      <c r="R45" s="273">
        <f t="shared" si="2"/>
        <v>0</v>
      </c>
      <c r="S45" s="270">
        <v>270000</v>
      </c>
      <c r="T45" s="53">
        <f t="shared" si="3"/>
        <v>0</v>
      </c>
      <c r="U45" s="371"/>
      <c r="V45" s="359"/>
    </row>
    <row r="46" spans="1:23" s="31" customFormat="1" x14ac:dyDescent="0.3">
      <c r="A46" s="61">
        <f t="shared" si="5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10"/>
      <c r="O46" s="25"/>
      <c r="P46" s="51">
        <f t="shared" si="1"/>
        <v>0</v>
      </c>
      <c r="Q46" s="78">
        <f t="shared" si="4"/>
        <v>0</v>
      </c>
      <c r="R46" s="273">
        <f t="shared" si="2"/>
        <v>0</v>
      </c>
      <c r="S46" s="270">
        <v>270000</v>
      </c>
      <c r="T46" s="53">
        <f t="shared" si="3"/>
        <v>0</v>
      </c>
      <c r="U46" s="371"/>
      <c r="V46" s="359"/>
    </row>
    <row r="47" spans="1:23" s="55" customFormat="1" ht="19.2" customHeight="1" x14ac:dyDescent="0.3">
      <c r="A47" s="294">
        <f t="shared" si="5"/>
        <v>44</v>
      </c>
      <c r="B47" s="159" t="s">
        <v>240</v>
      </c>
      <c r="C47" s="159"/>
      <c r="D47" s="206" t="s">
        <v>4</v>
      </c>
      <c r="E47" s="127"/>
      <c r="F47" s="32" t="s">
        <v>9</v>
      </c>
      <c r="G47" s="32" t="s">
        <v>9</v>
      </c>
      <c r="H47" s="36" t="s">
        <v>9</v>
      </c>
      <c r="I47" s="32" t="s">
        <v>9</v>
      </c>
      <c r="J47" s="32" t="s">
        <v>9</v>
      </c>
      <c r="K47" s="211" t="s">
        <v>9</v>
      </c>
      <c r="L47" s="211"/>
      <c r="M47" s="211" t="s">
        <v>9</v>
      </c>
      <c r="N47" s="211" t="s">
        <v>9</v>
      </c>
      <c r="O47" s="33" t="s">
        <v>9</v>
      </c>
      <c r="P47" s="51">
        <f t="shared" si="1"/>
        <v>9</v>
      </c>
      <c r="Q47" s="78">
        <f t="shared" si="4"/>
        <v>0</v>
      </c>
      <c r="R47" s="273">
        <f t="shared" si="2"/>
        <v>9</v>
      </c>
      <c r="S47" s="270">
        <v>370000</v>
      </c>
      <c r="T47" s="53">
        <f>R47*S47</f>
        <v>3330000</v>
      </c>
      <c r="U47" s="371"/>
      <c r="V47" s="362"/>
      <c r="W47" s="295"/>
    </row>
    <row r="48" spans="1:23" s="31" customFormat="1" x14ac:dyDescent="0.3">
      <c r="A48" s="61">
        <f t="shared" si="5"/>
        <v>45</v>
      </c>
      <c r="B48" s="116" t="s">
        <v>241</v>
      </c>
      <c r="C48" s="116"/>
      <c r="D48" s="205" t="s">
        <v>4</v>
      </c>
      <c r="E48" s="127"/>
      <c r="F48" s="32" t="s">
        <v>9</v>
      </c>
      <c r="G48" s="32" t="s">
        <v>9</v>
      </c>
      <c r="H48" s="36" t="s">
        <v>9</v>
      </c>
      <c r="I48" s="32" t="s">
        <v>9</v>
      </c>
      <c r="J48" s="32" t="s">
        <v>9</v>
      </c>
      <c r="K48" s="211" t="s">
        <v>9</v>
      </c>
      <c r="L48" s="211"/>
      <c r="M48" s="211" t="s">
        <v>9</v>
      </c>
      <c r="N48" s="211" t="s">
        <v>9</v>
      </c>
      <c r="O48" s="33" t="s">
        <v>9</v>
      </c>
      <c r="P48" s="51">
        <f t="shared" si="1"/>
        <v>9</v>
      </c>
      <c r="Q48" s="78">
        <f t="shared" si="4"/>
        <v>0</v>
      </c>
      <c r="R48" s="273">
        <f t="shared" si="2"/>
        <v>9</v>
      </c>
      <c r="S48" s="270">
        <v>360000</v>
      </c>
      <c r="T48" s="53">
        <f t="shared" si="3"/>
        <v>3240000</v>
      </c>
      <c r="U48" s="371"/>
      <c r="V48" s="359"/>
    </row>
    <row r="49" spans="1:23" s="31" customFormat="1" x14ac:dyDescent="0.3">
      <c r="A49" s="61">
        <f t="shared" si="5"/>
        <v>46</v>
      </c>
      <c r="B49" s="116" t="s">
        <v>242</v>
      </c>
      <c r="C49" s="116"/>
      <c r="D49" s="205" t="s">
        <v>5</v>
      </c>
      <c r="E49" s="127"/>
      <c r="F49" s="32" t="s">
        <v>9</v>
      </c>
      <c r="G49" s="32" t="s">
        <v>9</v>
      </c>
      <c r="H49" s="36" t="s">
        <v>9</v>
      </c>
      <c r="I49" s="32" t="s">
        <v>9</v>
      </c>
      <c r="J49" s="32" t="s">
        <v>9</v>
      </c>
      <c r="K49" s="211" t="s">
        <v>9</v>
      </c>
      <c r="L49" s="211"/>
      <c r="M49" s="211" t="s">
        <v>9</v>
      </c>
      <c r="N49" s="211" t="s">
        <v>9</v>
      </c>
      <c r="O49" s="33" t="s">
        <v>9</v>
      </c>
      <c r="P49" s="51">
        <f t="shared" si="1"/>
        <v>9</v>
      </c>
      <c r="Q49" s="78">
        <f t="shared" si="4"/>
        <v>0</v>
      </c>
      <c r="R49" s="273">
        <f t="shared" si="2"/>
        <v>9</v>
      </c>
      <c r="S49" s="270">
        <v>270000</v>
      </c>
      <c r="T49" s="53">
        <f t="shared" si="3"/>
        <v>2430000</v>
      </c>
      <c r="U49" s="371"/>
      <c r="V49" s="359"/>
    </row>
    <row r="50" spans="1:23" s="31" customFormat="1" x14ac:dyDescent="0.3">
      <c r="A50" s="61">
        <f t="shared" si="5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211"/>
      <c r="O50" s="33"/>
      <c r="P50" s="51">
        <f t="shared" si="1"/>
        <v>0</v>
      </c>
      <c r="Q50" s="78">
        <f t="shared" si="4"/>
        <v>0</v>
      </c>
      <c r="R50" s="273">
        <f t="shared" si="2"/>
        <v>0</v>
      </c>
      <c r="S50" s="270">
        <v>270000</v>
      </c>
      <c r="T50" s="53">
        <f t="shared" si="3"/>
        <v>0</v>
      </c>
      <c r="U50" s="371"/>
      <c r="V50" s="359"/>
    </row>
    <row r="51" spans="1:23" s="31" customFormat="1" x14ac:dyDescent="0.3">
      <c r="A51" s="61">
        <f t="shared" si="5"/>
        <v>48</v>
      </c>
      <c r="B51" s="116" t="s">
        <v>287</v>
      </c>
      <c r="C51" s="116"/>
      <c r="D51" s="205" t="s">
        <v>4</v>
      </c>
      <c r="E51" s="127"/>
      <c r="F51" s="32"/>
      <c r="G51" s="32"/>
      <c r="H51" s="36"/>
      <c r="I51" s="32"/>
      <c r="J51" s="32"/>
      <c r="K51" s="211"/>
      <c r="L51" s="211"/>
      <c r="M51" s="211"/>
      <c r="N51" s="211"/>
      <c r="O51" s="33"/>
      <c r="P51" s="51">
        <f t="shared" si="1"/>
        <v>0</v>
      </c>
      <c r="Q51" s="78">
        <f t="shared" si="4"/>
        <v>0</v>
      </c>
      <c r="R51" s="273">
        <f t="shared" si="2"/>
        <v>0</v>
      </c>
      <c r="S51" s="270">
        <v>360000</v>
      </c>
      <c r="T51" s="53">
        <f t="shared" si="3"/>
        <v>0</v>
      </c>
      <c r="U51" s="371"/>
      <c r="V51" s="359"/>
    </row>
    <row r="52" spans="1:23" s="31" customFormat="1" x14ac:dyDescent="0.3">
      <c r="A52" s="61">
        <f t="shared" si="5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211"/>
      <c r="O52" s="33"/>
      <c r="P52" s="51">
        <f t="shared" si="1"/>
        <v>0</v>
      </c>
      <c r="Q52" s="78">
        <f t="shared" si="4"/>
        <v>0</v>
      </c>
      <c r="R52" s="273">
        <f t="shared" si="2"/>
        <v>0</v>
      </c>
      <c r="S52" s="270">
        <v>360000</v>
      </c>
      <c r="T52" s="53">
        <f t="shared" si="3"/>
        <v>0</v>
      </c>
      <c r="U52" s="371"/>
      <c r="V52" s="359"/>
    </row>
    <row r="53" spans="1:23" s="31" customFormat="1" x14ac:dyDescent="0.3">
      <c r="A53" s="61">
        <f t="shared" si="5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211"/>
      <c r="O53" s="33"/>
      <c r="P53" s="51">
        <f t="shared" si="1"/>
        <v>0</v>
      </c>
      <c r="Q53" s="78">
        <f t="shared" si="4"/>
        <v>0</v>
      </c>
      <c r="R53" s="273">
        <f t="shared" si="2"/>
        <v>0</v>
      </c>
      <c r="S53" s="270">
        <v>270000</v>
      </c>
      <c r="T53" s="53">
        <f t="shared" si="3"/>
        <v>0</v>
      </c>
      <c r="U53" s="371"/>
      <c r="V53" s="359"/>
    </row>
    <row r="54" spans="1:23" s="55" customFormat="1" x14ac:dyDescent="0.3">
      <c r="A54" s="294">
        <f t="shared" si="5"/>
        <v>51</v>
      </c>
      <c r="B54" s="159" t="s">
        <v>288</v>
      </c>
      <c r="C54" s="159"/>
      <c r="D54" s="206" t="s">
        <v>5</v>
      </c>
      <c r="E54" s="127"/>
      <c r="F54" s="32" t="s">
        <v>9</v>
      </c>
      <c r="G54" s="32" t="s">
        <v>9</v>
      </c>
      <c r="H54" s="36" t="s">
        <v>9</v>
      </c>
      <c r="I54" s="32" t="s">
        <v>9</v>
      </c>
      <c r="J54" s="32" t="s">
        <v>9</v>
      </c>
      <c r="K54" s="211" t="s">
        <v>9</v>
      </c>
      <c r="L54" s="211"/>
      <c r="M54" s="211" t="s">
        <v>9</v>
      </c>
      <c r="N54" s="211" t="s">
        <v>9</v>
      </c>
      <c r="O54" s="33" t="s">
        <v>9</v>
      </c>
      <c r="P54" s="51">
        <f t="shared" si="1"/>
        <v>9</v>
      </c>
      <c r="Q54" s="78">
        <f t="shared" si="4"/>
        <v>0</v>
      </c>
      <c r="R54" s="273">
        <f t="shared" si="2"/>
        <v>9</v>
      </c>
      <c r="S54" s="270">
        <v>270000</v>
      </c>
      <c r="T54" s="53">
        <f t="shared" si="3"/>
        <v>2430000</v>
      </c>
      <c r="U54" s="371"/>
      <c r="V54" s="362"/>
    </row>
    <row r="55" spans="1:23" s="31" customFormat="1" x14ac:dyDescent="0.3">
      <c r="A55" s="61">
        <f t="shared" si="5"/>
        <v>52</v>
      </c>
      <c r="B55" s="116" t="s">
        <v>291</v>
      </c>
      <c r="C55" s="116"/>
      <c r="D55" s="205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211"/>
      <c r="O55" s="33"/>
      <c r="P55" s="51">
        <f t="shared" si="1"/>
        <v>0</v>
      </c>
      <c r="Q55" s="78">
        <f t="shared" si="4"/>
        <v>0</v>
      </c>
      <c r="R55" s="273">
        <f t="shared" si="2"/>
        <v>0</v>
      </c>
      <c r="S55" s="270">
        <v>270000</v>
      </c>
      <c r="T55" s="53">
        <f>R55*S55</f>
        <v>0</v>
      </c>
      <c r="U55" s="371"/>
      <c r="V55" s="359"/>
    </row>
    <row r="56" spans="1:23" s="55" customFormat="1" ht="19.2" customHeight="1" x14ac:dyDescent="0.3">
      <c r="A56" s="294">
        <f t="shared" si="5"/>
        <v>53</v>
      </c>
      <c r="B56" s="159" t="s">
        <v>295</v>
      </c>
      <c r="C56" s="159"/>
      <c r="D56" s="206" t="s">
        <v>5</v>
      </c>
      <c r="E56" s="127"/>
      <c r="F56" s="32"/>
      <c r="G56" s="32" t="s">
        <v>9</v>
      </c>
      <c r="H56" s="36" t="s">
        <v>9</v>
      </c>
      <c r="I56" s="32"/>
      <c r="J56" s="32" t="s">
        <v>9</v>
      </c>
      <c r="K56" s="211" t="s">
        <v>9</v>
      </c>
      <c r="L56" s="211"/>
      <c r="M56" s="211"/>
      <c r="N56" s="211"/>
      <c r="O56" s="33"/>
      <c r="P56" s="51">
        <f t="shared" si="1"/>
        <v>4</v>
      </c>
      <c r="Q56" s="78">
        <f t="shared" si="4"/>
        <v>0</v>
      </c>
      <c r="R56" s="273">
        <f t="shared" si="2"/>
        <v>4</v>
      </c>
      <c r="S56" s="270">
        <v>280000</v>
      </c>
      <c r="T56" s="53">
        <f>R56*S56</f>
        <v>1120000</v>
      </c>
      <c r="U56" s="371"/>
      <c r="V56" s="362"/>
      <c r="W56" s="295"/>
    </row>
    <row r="57" spans="1:23" s="31" customFormat="1" x14ac:dyDescent="0.3">
      <c r="A57" s="61">
        <f t="shared" si="5"/>
        <v>54</v>
      </c>
      <c r="B57" s="116" t="s">
        <v>296</v>
      </c>
      <c r="C57" s="116"/>
      <c r="D57" s="205" t="s">
        <v>5</v>
      </c>
      <c r="E57" s="127"/>
      <c r="F57" s="32"/>
      <c r="G57" s="32"/>
      <c r="H57" s="36"/>
      <c r="I57" s="32"/>
      <c r="J57" s="32"/>
      <c r="K57" s="211"/>
      <c r="L57" s="211"/>
      <c r="M57" s="211"/>
      <c r="N57" s="211"/>
      <c r="O57" s="33"/>
      <c r="P57" s="51">
        <f t="shared" si="1"/>
        <v>0</v>
      </c>
      <c r="Q57" s="78">
        <f t="shared" si="4"/>
        <v>0</v>
      </c>
      <c r="R57" s="273">
        <f t="shared" si="2"/>
        <v>0</v>
      </c>
      <c r="S57" s="270">
        <v>270000</v>
      </c>
      <c r="T57" s="53">
        <f t="shared" si="3"/>
        <v>0</v>
      </c>
      <c r="U57" s="371"/>
      <c r="V57" s="359"/>
    </row>
    <row r="58" spans="1:23" s="31" customFormat="1" x14ac:dyDescent="0.3">
      <c r="A58" s="61">
        <f t="shared" si="5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211"/>
      <c r="O58" s="33"/>
      <c r="P58" s="51">
        <f t="shared" si="1"/>
        <v>0</v>
      </c>
      <c r="Q58" s="78">
        <f t="shared" si="4"/>
        <v>0</v>
      </c>
      <c r="R58" s="273">
        <f t="shared" si="2"/>
        <v>0</v>
      </c>
      <c r="S58" s="270">
        <v>360000</v>
      </c>
      <c r="T58" s="53">
        <f t="shared" si="3"/>
        <v>0</v>
      </c>
      <c r="U58" s="371"/>
      <c r="V58" s="359"/>
    </row>
    <row r="59" spans="1:23" s="31" customFormat="1" x14ac:dyDescent="0.3">
      <c r="A59" s="61">
        <f t="shared" si="5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211"/>
      <c r="O59" s="33"/>
      <c r="P59" s="51">
        <f t="shared" si="1"/>
        <v>0</v>
      </c>
      <c r="Q59" s="78">
        <f t="shared" si="4"/>
        <v>0</v>
      </c>
      <c r="R59" s="273">
        <f t="shared" si="2"/>
        <v>0</v>
      </c>
      <c r="S59" s="270">
        <v>270000</v>
      </c>
      <c r="T59" s="53">
        <f t="shared" si="3"/>
        <v>0</v>
      </c>
      <c r="U59" s="371"/>
      <c r="V59" s="359"/>
    </row>
    <row r="60" spans="1:23" s="31" customFormat="1" x14ac:dyDescent="0.3">
      <c r="A60" s="61">
        <f t="shared" si="5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211"/>
      <c r="O60" s="33"/>
      <c r="P60" s="51">
        <f t="shared" si="1"/>
        <v>0</v>
      </c>
      <c r="Q60" s="78">
        <f t="shared" si="4"/>
        <v>0</v>
      </c>
      <c r="R60" s="273">
        <f t="shared" si="2"/>
        <v>0</v>
      </c>
      <c r="S60" s="270">
        <v>260000</v>
      </c>
      <c r="T60" s="53">
        <f t="shared" si="3"/>
        <v>0</v>
      </c>
      <c r="U60" s="371"/>
      <c r="V60" s="359"/>
    </row>
    <row r="61" spans="1:23" s="31" customFormat="1" x14ac:dyDescent="0.3">
      <c r="A61" s="61">
        <f t="shared" si="5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211"/>
      <c r="O61" s="33"/>
      <c r="P61" s="162">
        <f t="shared" si="1"/>
        <v>0</v>
      </c>
      <c r="Q61" s="163">
        <f t="shared" si="4"/>
        <v>0</v>
      </c>
      <c r="R61" s="273">
        <f t="shared" si="2"/>
        <v>0</v>
      </c>
      <c r="S61" s="270">
        <v>360000</v>
      </c>
      <c r="T61" s="53">
        <f t="shared" si="3"/>
        <v>0</v>
      </c>
      <c r="U61" s="371"/>
      <c r="V61" s="359"/>
    </row>
    <row r="62" spans="1:23" s="31" customFormat="1" x14ac:dyDescent="0.3">
      <c r="A62" s="61">
        <f t="shared" si="5"/>
        <v>59</v>
      </c>
      <c r="B62" s="116" t="s">
        <v>362</v>
      </c>
      <c r="C62" s="116"/>
      <c r="D62" s="205" t="s">
        <v>5</v>
      </c>
      <c r="E62" s="127"/>
      <c r="F62" s="32"/>
      <c r="G62" s="32"/>
      <c r="H62" s="36"/>
      <c r="I62" s="32"/>
      <c r="J62" s="32"/>
      <c r="K62" s="211"/>
      <c r="L62" s="211"/>
      <c r="M62" s="211"/>
      <c r="N62" s="211"/>
      <c r="O62" s="33"/>
      <c r="P62" s="162">
        <f t="shared" si="1"/>
        <v>0</v>
      </c>
      <c r="Q62" s="163">
        <f t="shared" si="4"/>
        <v>0</v>
      </c>
      <c r="R62" s="273">
        <f t="shared" si="2"/>
        <v>0</v>
      </c>
      <c r="S62" s="270">
        <v>260000</v>
      </c>
      <c r="T62" s="53">
        <f t="shared" si="3"/>
        <v>0</v>
      </c>
      <c r="U62" s="371"/>
      <c r="V62" s="359"/>
    </row>
    <row r="63" spans="1:23" s="31" customFormat="1" x14ac:dyDescent="0.3">
      <c r="A63" s="61">
        <f t="shared" si="5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211"/>
      <c r="O63" s="33"/>
      <c r="P63" s="162">
        <f t="shared" si="1"/>
        <v>0</v>
      </c>
      <c r="Q63" s="163">
        <f t="shared" si="4"/>
        <v>0</v>
      </c>
      <c r="R63" s="273">
        <f t="shared" si="2"/>
        <v>0</v>
      </c>
      <c r="S63" s="270">
        <v>260000</v>
      </c>
      <c r="T63" s="53">
        <f t="shared" si="3"/>
        <v>0</v>
      </c>
      <c r="U63" s="371"/>
      <c r="V63" s="359"/>
    </row>
    <row r="64" spans="1:23" s="31" customFormat="1" x14ac:dyDescent="0.3">
      <c r="A64" s="61">
        <f t="shared" si="5"/>
        <v>61</v>
      </c>
      <c r="B64" s="116" t="s">
        <v>364</v>
      </c>
      <c r="C64" s="116"/>
      <c r="D64" s="205" t="s">
        <v>4</v>
      </c>
      <c r="E64" s="127"/>
      <c r="F64" s="32" t="s">
        <v>9</v>
      </c>
      <c r="G64" s="32" t="s">
        <v>9</v>
      </c>
      <c r="H64" s="36" t="s">
        <v>9</v>
      </c>
      <c r="I64" s="32" t="s">
        <v>9</v>
      </c>
      <c r="J64" s="32" t="s">
        <v>9</v>
      </c>
      <c r="K64" s="211" t="s">
        <v>9</v>
      </c>
      <c r="L64" s="211"/>
      <c r="M64" s="211" t="s">
        <v>9</v>
      </c>
      <c r="N64" s="211" t="s">
        <v>9</v>
      </c>
      <c r="O64" s="33"/>
      <c r="P64" s="162">
        <f t="shared" si="1"/>
        <v>8</v>
      </c>
      <c r="Q64" s="163">
        <f t="shared" si="4"/>
        <v>0</v>
      </c>
      <c r="R64" s="273">
        <f t="shared" si="2"/>
        <v>8</v>
      </c>
      <c r="S64" s="270">
        <v>370000</v>
      </c>
      <c r="T64" s="53">
        <f t="shared" si="3"/>
        <v>2960000</v>
      </c>
      <c r="U64" s="371"/>
      <c r="V64" s="359"/>
    </row>
    <row r="65" spans="1:22" s="31" customFormat="1" x14ac:dyDescent="0.3">
      <c r="A65" s="61">
        <f t="shared" si="5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211"/>
      <c r="O65" s="33"/>
      <c r="P65" s="162">
        <f t="shared" si="1"/>
        <v>0</v>
      </c>
      <c r="Q65" s="163">
        <f t="shared" si="4"/>
        <v>0</v>
      </c>
      <c r="R65" s="273">
        <f t="shared" si="2"/>
        <v>0</v>
      </c>
      <c r="S65" s="270">
        <v>260000</v>
      </c>
      <c r="T65" s="53">
        <f t="shared" si="3"/>
        <v>0</v>
      </c>
      <c r="U65" s="371"/>
      <c r="V65" s="359"/>
    </row>
    <row r="66" spans="1:22" s="31" customFormat="1" x14ac:dyDescent="0.3">
      <c r="A66" s="61">
        <f t="shared" si="5"/>
        <v>63</v>
      </c>
      <c r="B66" s="116" t="s">
        <v>366</v>
      </c>
      <c r="C66" s="116"/>
      <c r="D66" s="205" t="s">
        <v>4</v>
      </c>
      <c r="E66" s="127"/>
      <c r="F66" s="32" t="s">
        <v>9</v>
      </c>
      <c r="G66" s="32" t="s">
        <v>9</v>
      </c>
      <c r="H66" s="36" t="s">
        <v>9</v>
      </c>
      <c r="I66" s="32" t="s">
        <v>9</v>
      </c>
      <c r="J66" s="32" t="s">
        <v>9</v>
      </c>
      <c r="K66" s="211" t="s">
        <v>9</v>
      </c>
      <c r="L66" s="211"/>
      <c r="M66" s="211" t="s">
        <v>9</v>
      </c>
      <c r="N66" s="211" t="s">
        <v>9</v>
      </c>
      <c r="O66" s="33"/>
      <c r="P66" s="162">
        <f t="shared" si="1"/>
        <v>8</v>
      </c>
      <c r="Q66" s="163">
        <f t="shared" si="4"/>
        <v>0</v>
      </c>
      <c r="R66" s="273">
        <f t="shared" si="2"/>
        <v>8</v>
      </c>
      <c r="S66" s="270">
        <v>360000</v>
      </c>
      <c r="T66" s="53">
        <f t="shared" si="3"/>
        <v>2880000</v>
      </c>
      <c r="U66" s="371"/>
      <c r="V66" s="359"/>
    </row>
    <row r="67" spans="1:22" s="31" customFormat="1" x14ac:dyDescent="0.3">
      <c r="A67" s="61">
        <f t="shared" si="5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211"/>
      <c r="O67" s="33"/>
      <c r="P67" s="162">
        <f t="shared" si="1"/>
        <v>0</v>
      </c>
      <c r="Q67" s="163">
        <f t="shared" si="4"/>
        <v>0</v>
      </c>
      <c r="R67" s="273">
        <f t="shared" si="2"/>
        <v>0</v>
      </c>
      <c r="S67" s="270">
        <v>260000</v>
      </c>
      <c r="T67" s="53">
        <f t="shared" si="3"/>
        <v>0</v>
      </c>
      <c r="U67" s="371"/>
      <c r="V67" s="359"/>
    </row>
    <row r="68" spans="1:22" s="31" customFormat="1" x14ac:dyDescent="0.3">
      <c r="A68" s="61">
        <f t="shared" si="5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211"/>
      <c r="O68" s="33"/>
      <c r="P68" s="162">
        <f t="shared" ref="P68:P82" si="6">COUNTIF(E68:O68,"X")</f>
        <v>0</v>
      </c>
      <c r="Q68" s="163">
        <f t="shared" si="4"/>
        <v>0</v>
      </c>
      <c r="R68" s="273">
        <f t="shared" ref="R68:R83" si="7">SUM(P68:Q68)</f>
        <v>0</v>
      </c>
      <c r="S68" s="270">
        <v>260000</v>
      </c>
      <c r="T68" s="53">
        <f t="shared" ref="T68:T83" si="8">R68*S68</f>
        <v>0</v>
      </c>
      <c r="U68" s="371"/>
      <c r="V68" s="359"/>
    </row>
    <row r="69" spans="1:22" s="31" customFormat="1" x14ac:dyDescent="0.3">
      <c r="A69" s="61">
        <f t="shared" si="5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211"/>
      <c r="O69" s="33"/>
      <c r="P69" s="162">
        <f t="shared" si="6"/>
        <v>0</v>
      </c>
      <c r="Q69" s="163">
        <f t="shared" ref="Q69:Q82" si="9">COUNTIF(E69:O69,"X/2")/2</f>
        <v>0</v>
      </c>
      <c r="R69" s="273">
        <f t="shared" si="7"/>
        <v>0</v>
      </c>
      <c r="S69" s="270">
        <v>270000</v>
      </c>
      <c r="T69" s="53">
        <f t="shared" si="8"/>
        <v>0</v>
      </c>
      <c r="U69" s="371"/>
      <c r="V69" s="359"/>
    </row>
    <row r="70" spans="1:22" s="31" customFormat="1" x14ac:dyDescent="0.3">
      <c r="A70" s="61">
        <f t="shared" si="5"/>
        <v>67</v>
      </c>
      <c r="B70" s="116" t="s">
        <v>371</v>
      </c>
      <c r="C70" s="116"/>
      <c r="D70" s="205" t="s">
        <v>4</v>
      </c>
      <c r="E70" s="127"/>
      <c r="F70" s="32" t="s">
        <v>9</v>
      </c>
      <c r="G70" s="32" t="s">
        <v>9</v>
      </c>
      <c r="H70" s="36" t="s">
        <v>9</v>
      </c>
      <c r="I70" s="32" t="s">
        <v>9</v>
      </c>
      <c r="J70" s="32" t="s">
        <v>9</v>
      </c>
      <c r="K70" s="211" t="s">
        <v>9</v>
      </c>
      <c r="L70" s="211"/>
      <c r="M70" s="211" t="s">
        <v>9</v>
      </c>
      <c r="N70" s="211" t="s">
        <v>9</v>
      </c>
      <c r="O70" s="33" t="s">
        <v>9</v>
      </c>
      <c r="P70" s="162">
        <f t="shared" si="6"/>
        <v>9</v>
      </c>
      <c r="Q70" s="163">
        <f t="shared" si="9"/>
        <v>0</v>
      </c>
      <c r="R70" s="273">
        <f t="shared" si="7"/>
        <v>9</v>
      </c>
      <c r="S70" s="270">
        <v>360000</v>
      </c>
      <c r="T70" s="53">
        <f t="shared" si="8"/>
        <v>3240000</v>
      </c>
      <c r="U70" s="371"/>
      <c r="V70" s="359"/>
    </row>
    <row r="71" spans="1:22" s="31" customFormat="1" x14ac:dyDescent="0.3">
      <c r="A71" s="61">
        <f t="shared" ref="A71:A83" si="10">A70+1</f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/>
      <c r="L71" s="211"/>
      <c r="M71" s="211"/>
      <c r="N71" s="211"/>
      <c r="O71" s="33"/>
      <c r="P71" s="162">
        <f t="shared" si="6"/>
        <v>0</v>
      </c>
      <c r="Q71" s="163">
        <f t="shared" si="9"/>
        <v>0</v>
      </c>
      <c r="R71" s="273">
        <f t="shared" si="7"/>
        <v>0</v>
      </c>
      <c r="S71" s="270">
        <v>360000</v>
      </c>
      <c r="T71" s="53">
        <f t="shared" si="8"/>
        <v>0</v>
      </c>
      <c r="U71" s="371"/>
      <c r="V71" s="359"/>
    </row>
    <row r="72" spans="1:22" s="31" customFormat="1" x14ac:dyDescent="0.3">
      <c r="A72" s="61">
        <f t="shared" si="10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211"/>
      <c r="O72" s="33"/>
      <c r="P72" s="162">
        <f t="shared" si="6"/>
        <v>0</v>
      </c>
      <c r="Q72" s="163">
        <f t="shared" si="9"/>
        <v>0</v>
      </c>
      <c r="R72" s="273">
        <f t="shared" si="7"/>
        <v>0</v>
      </c>
      <c r="S72" s="270">
        <v>260000</v>
      </c>
      <c r="T72" s="53">
        <f t="shared" si="8"/>
        <v>0</v>
      </c>
      <c r="U72" s="371"/>
      <c r="V72" s="359"/>
    </row>
    <row r="73" spans="1:22" s="31" customFormat="1" x14ac:dyDescent="0.3">
      <c r="A73" s="61">
        <f t="shared" si="10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211"/>
      <c r="O73" s="33"/>
      <c r="P73" s="162">
        <f t="shared" si="6"/>
        <v>0</v>
      </c>
      <c r="Q73" s="163">
        <f t="shared" si="9"/>
        <v>0</v>
      </c>
      <c r="R73" s="273">
        <f t="shared" si="7"/>
        <v>0</v>
      </c>
      <c r="S73" s="270">
        <v>360000</v>
      </c>
      <c r="T73" s="53">
        <f t="shared" si="8"/>
        <v>0</v>
      </c>
      <c r="U73" s="371"/>
      <c r="V73" s="359"/>
    </row>
    <row r="74" spans="1:22" s="31" customFormat="1" x14ac:dyDescent="0.3">
      <c r="A74" s="61">
        <f t="shared" si="10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211"/>
      <c r="O74" s="33"/>
      <c r="P74" s="162">
        <f t="shared" si="6"/>
        <v>0</v>
      </c>
      <c r="Q74" s="163">
        <f t="shared" si="9"/>
        <v>0</v>
      </c>
      <c r="R74" s="273">
        <f t="shared" si="7"/>
        <v>0</v>
      </c>
      <c r="S74" s="270">
        <v>260000</v>
      </c>
      <c r="T74" s="53">
        <f t="shared" si="8"/>
        <v>0</v>
      </c>
      <c r="U74" s="371"/>
      <c r="V74" s="359"/>
    </row>
    <row r="75" spans="1:22" s="31" customFormat="1" x14ac:dyDescent="0.3">
      <c r="A75" s="61">
        <f t="shared" si="10"/>
        <v>72</v>
      </c>
      <c r="B75" s="159" t="s">
        <v>376</v>
      </c>
      <c r="C75" s="159"/>
      <c r="D75" s="206" t="s">
        <v>5</v>
      </c>
      <c r="E75" s="127"/>
      <c r="F75" s="32"/>
      <c r="G75" s="32"/>
      <c r="H75" s="36"/>
      <c r="I75" s="227"/>
      <c r="J75" s="227"/>
      <c r="K75" s="229"/>
      <c r="L75" s="229"/>
      <c r="M75" s="229"/>
      <c r="N75" s="229"/>
      <c r="O75" s="323"/>
      <c r="P75" s="162">
        <f t="shared" si="6"/>
        <v>0</v>
      </c>
      <c r="Q75" s="163">
        <f t="shared" si="9"/>
        <v>0</v>
      </c>
      <c r="R75" s="273">
        <f t="shared" si="7"/>
        <v>0</v>
      </c>
      <c r="S75" s="270">
        <v>260000</v>
      </c>
      <c r="T75" s="53">
        <f t="shared" si="8"/>
        <v>0</v>
      </c>
      <c r="U75" s="354"/>
      <c r="V75" s="364"/>
    </row>
    <row r="76" spans="1:22" s="55" customFormat="1" x14ac:dyDescent="0.3">
      <c r="A76" s="61">
        <f t="shared" si="10"/>
        <v>73</v>
      </c>
      <c r="B76" s="29" t="s">
        <v>387</v>
      </c>
      <c r="C76" s="29"/>
      <c r="D76" s="210" t="s">
        <v>5</v>
      </c>
      <c r="E76" s="233"/>
      <c r="F76" s="21"/>
      <c r="G76" s="21"/>
      <c r="H76" s="21"/>
      <c r="I76" s="21"/>
      <c r="J76" s="21"/>
      <c r="K76" s="21"/>
      <c r="L76" s="21"/>
      <c r="M76" s="21"/>
      <c r="N76" s="210"/>
      <c r="O76" s="25"/>
      <c r="P76" s="51">
        <f>COUNTIF(E76:O76,"X")</f>
        <v>0</v>
      </c>
      <c r="Q76" s="78">
        <f>COUNTIF(E76:O76,"X/2")/2</f>
        <v>0</v>
      </c>
      <c r="R76" s="273">
        <f>SUM(P76:Q76)</f>
        <v>0</v>
      </c>
      <c r="S76" s="269">
        <v>270000</v>
      </c>
      <c r="T76" s="52">
        <f>R76*S76</f>
        <v>0</v>
      </c>
      <c r="U76" s="372"/>
      <c r="V76" s="365"/>
    </row>
    <row r="77" spans="1:22" s="55" customFormat="1" x14ac:dyDescent="0.3">
      <c r="A77" s="294">
        <f>A76+1</f>
        <v>74</v>
      </c>
      <c r="B77" s="29" t="s">
        <v>394</v>
      </c>
      <c r="C77" s="29"/>
      <c r="D77" s="210" t="s">
        <v>4</v>
      </c>
      <c r="E77" s="233"/>
      <c r="F77" s="21"/>
      <c r="G77" s="21"/>
      <c r="H77" s="21"/>
      <c r="I77" s="21"/>
      <c r="J77" s="21"/>
      <c r="K77" s="21"/>
      <c r="L77" s="21"/>
      <c r="M77" s="21"/>
      <c r="N77" s="210"/>
      <c r="O77" s="25"/>
      <c r="P77" s="162">
        <f t="shared" si="6"/>
        <v>0</v>
      </c>
      <c r="Q77" s="163">
        <f t="shared" si="9"/>
        <v>0</v>
      </c>
      <c r="R77" s="273">
        <f t="shared" si="7"/>
        <v>0</v>
      </c>
      <c r="S77" s="269">
        <v>400000</v>
      </c>
      <c r="T77" s="53">
        <f t="shared" si="8"/>
        <v>0</v>
      </c>
      <c r="U77" s="371"/>
      <c r="V77" s="364"/>
    </row>
    <row r="78" spans="1:22" s="55" customFormat="1" x14ac:dyDescent="0.3">
      <c r="A78" s="61">
        <f t="shared" si="10"/>
        <v>75</v>
      </c>
      <c r="B78" s="29" t="s">
        <v>388</v>
      </c>
      <c r="C78" s="29"/>
      <c r="D78" s="210" t="s">
        <v>5</v>
      </c>
      <c r="E78" s="233"/>
      <c r="F78" s="21" t="s">
        <v>9</v>
      </c>
      <c r="G78" s="21" t="s">
        <v>9</v>
      </c>
      <c r="H78" s="21" t="s">
        <v>9</v>
      </c>
      <c r="I78" s="21" t="s">
        <v>9</v>
      </c>
      <c r="J78" s="21" t="s">
        <v>9</v>
      </c>
      <c r="K78" s="21" t="s">
        <v>9</v>
      </c>
      <c r="L78" s="21"/>
      <c r="M78" s="21"/>
      <c r="N78" s="210" t="s">
        <v>9</v>
      </c>
      <c r="O78" s="25" t="s">
        <v>9</v>
      </c>
      <c r="P78" s="162">
        <f t="shared" si="6"/>
        <v>8</v>
      </c>
      <c r="Q78" s="163">
        <f t="shared" si="9"/>
        <v>0</v>
      </c>
      <c r="R78" s="273">
        <f t="shared" si="7"/>
        <v>8</v>
      </c>
      <c r="S78" s="269">
        <v>270000</v>
      </c>
      <c r="T78" s="53">
        <f t="shared" si="8"/>
        <v>2160000</v>
      </c>
      <c r="U78" s="371"/>
      <c r="V78" s="364"/>
    </row>
    <row r="79" spans="1:22" s="55" customFormat="1" x14ac:dyDescent="0.3">
      <c r="A79" s="61">
        <f t="shared" si="10"/>
        <v>76</v>
      </c>
      <c r="B79" s="29" t="s">
        <v>389</v>
      </c>
      <c r="C79" s="29"/>
      <c r="D79" s="210" t="s">
        <v>4</v>
      </c>
      <c r="E79" s="233"/>
      <c r="F79" s="21" t="s">
        <v>9</v>
      </c>
      <c r="G79" s="21" t="s">
        <v>9</v>
      </c>
      <c r="H79" s="21" t="s">
        <v>9</v>
      </c>
      <c r="I79" s="21" t="s">
        <v>9</v>
      </c>
      <c r="J79" s="21" t="s">
        <v>9</v>
      </c>
      <c r="K79" s="21" t="s">
        <v>9</v>
      </c>
      <c r="L79" s="21"/>
      <c r="M79" s="21" t="s">
        <v>9</v>
      </c>
      <c r="N79" s="210" t="s">
        <v>9</v>
      </c>
      <c r="O79" s="25" t="s">
        <v>9</v>
      </c>
      <c r="P79" s="162">
        <f t="shared" si="6"/>
        <v>9</v>
      </c>
      <c r="Q79" s="163">
        <f t="shared" si="9"/>
        <v>0</v>
      </c>
      <c r="R79" s="273">
        <f t="shared" si="7"/>
        <v>9</v>
      </c>
      <c r="S79" s="269">
        <v>320000</v>
      </c>
      <c r="T79" s="53">
        <f t="shared" si="8"/>
        <v>2880000</v>
      </c>
      <c r="U79" s="371"/>
      <c r="V79" s="364"/>
    </row>
    <row r="80" spans="1:22" s="55" customFormat="1" x14ac:dyDescent="0.3">
      <c r="A80" s="61">
        <f t="shared" si="10"/>
        <v>77</v>
      </c>
      <c r="B80" s="29" t="s">
        <v>390</v>
      </c>
      <c r="C80" s="29"/>
      <c r="D80" s="210" t="s">
        <v>5</v>
      </c>
      <c r="E80" s="233"/>
      <c r="F80" s="21" t="s">
        <v>9</v>
      </c>
      <c r="G80" s="21" t="s">
        <v>9</v>
      </c>
      <c r="H80" s="21" t="s">
        <v>9</v>
      </c>
      <c r="I80" s="21" t="s">
        <v>9</v>
      </c>
      <c r="J80" s="21" t="s">
        <v>9</v>
      </c>
      <c r="K80" s="21" t="s">
        <v>9</v>
      </c>
      <c r="L80" s="21"/>
      <c r="M80" s="21"/>
      <c r="N80" s="210" t="s">
        <v>9</v>
      </c>
      <c r="O80" s="25" t="s">
        <v>9</v>
      </c>
      <c r="P80" s="162">
        <f t="shared" si="6"/>
        <v>8</v>
      </c>
      <c r="Q80" s="163">
        <f t="shared" si="9"/>
        <v>0</v>
      </c>
      <c r="R80" s="273">
        <f t="shared" si="7"/>
        <v>8</v>
      </c>
      <c r="S80" s="269">
        <v>270000</v>
      </c>
      <c r="T80" s="53">
        <f t="shared" si="8"/>
        <v>2160000</v>
      </c>
      <c r="U80" s="371"/>
      <c r="V80" s="364"/>
    </row>
    <row r="81" spans="1:23" s="55" customFormat="1" x14ac:dyDescent="0.3">
      <c r="A81" s="61">
        <f t="shared" si="10"/>
        <v>78</v>
      </c>
      <c r="B81" s="29" t="s">
        <v>391</v>
      </c>
      <c r="C81" s="29"/>
      <c r="D81" s="210" t="s">
        <v>4</v>
      </c>
      <c r="E81" s="233"/>
      <c r="F81" s="21" t="s">
        <v>9</v>
      </c>
      <c r="G81" s="21" t="s">
        <v>9</v>
      </c>
      <c r="H81" s="21" t="s">
        <v>9</v>
      </c>
      <c r="I81" s="21" t="s">
        <v>9</v>
      </c>
      <c r="J81" s="21" t="s">
        <v>9</v>
      </c>
      <c r="K81" s="21" t="s">
        <v>9</v>
      </c>
      <c r="L81" s="21"/>
      <c r="M81" s="21" t="s">
        <v>9</v>
      </c>
      <c r="N81" s="210" t="s">
        <v>9</v>
      </c>
      <c r="O81" s="25" t="s">
        <v>9</v>
      </c>
      <c r="P81" s="162">
        <f t="shared" si="6"/>
        <v>9</v>
      </c>
      <c r="Q81" s="163">
        <f t="shared" si="9"/>
        <v>0</v>
      </c>
      <c r="R81" s="273">
        <f t="shared" si="7"/>
        <v>9</v>
      </c>
      <c r="S81" s="269">
        <v>360000</v>
      </c>
      <c r="T81" s="53">
        <f t="shared" si="8"/>
        <v>3240000</v>
      </c>
      <c r="U81" s="371"/>
      <c r="V81" s="364"/>
    </row>
    <row r="82" spans="1:23" s="55" customFormat="1" x14ac:dyDescent="0.3">
      <c r="A82" s="61">
        <f t="shared" si="10"/>
        <v>79</v>
      </c>
      <c r="B82" s="29" t="s">
        <v>392</v>
      </c>
      <c r="C82" s="353"/>
      <c r="D82" s="203" t="s">
        <v>5</v>
      </c>
      <c r="E82" s="41"/>
      <c r="F82" s="21" t="s">
        <v>9</v>
      </c>
      <c r="G82" s="21" t="s">
        <v>9</v>
      </c>
      <c r="H82" s="35" t="s">
        <v>9</v>
      </c>
      <c r="I82" s="21" t="s">
        <v>9</v>
      </c>
      <c r="J82" s="21" t="s">
        <v>9</v>
      </c>
      <c r="K82" s="210" t="s">
        <v>9</v>
      </c>
      <c r="L82" s="210"/>
      <c r="M82" s="210" t="s">
        <v>9</v>
      </c>
      <c r="N82" s="210" t="s">
        <v>9</v>
      </c>
      <c r="O82" s="25" t="s">
        <v>9</v>
      </c>
      <c r="P82" s="51">
        <f t="shared" si="6"/>
        <v>9</v>
      </c>
      <c r="Q82" s="78">
        <f t="shared" si="9"/>
        <v>0</v>
      </c>
      <c r="R82" s="273">
        <f t="shared" si="7"/>
        <v>9</v>
      </c>
      <c r="S82" s="269">
        <v>270000</v>
      </c>
      <c r="T82" s="52">
        <f t="shared" si="8"/>
        <v>2430000</v>
      </c>
      <c r="U82" s="373"/>
      <c r="V82" s="364"/>
    </row>
    <row r="83" spans="1:23" s="55" customFormat="1" x14ac:dyDescent="0.3">
      <c r="A83" s="61">
        <f t="shared" si="10"/>
        <v>80</v>
      </c>
      <c r="B83" s="344" t="s">
        <v>397</v>
      </c>
      <c r="C83" s="345"/>
      <c r="D83" s="346" t="s">
        <v>5</v>
      </c>
      <c r="E83" s="347"/>
      <c r="F83" s="348"/>
      <c r="G83" s="349"/>
      <c r="H83" s="348"/>
      <c r="I83" s="349"/>
      <c r="J83" s="349"/>
      <c r="K83" s="350"/>
      <c r="L83" s="350"/>
      <c r="M83" s="350"/>
      <c r="N83" s="350" t="s">
        <v>9</v>
      </c>
      <c r="O83" s="351" t="s">
        <v>9</v>
      </c>
      <c r="P83" s="51">
        <f t="shared" ref="P83" si="11">COUNTIF(E83:O83,"X")</f>
        <v>2</v>
      </c>
      <c r="Q83" s="78">
        <f t="shared" ref="Q83" si="12">COUNTIF(E83:O83,"X/2")/2</f>
        <v>0</v>
      </c>
      <c r="R83" s="273">
        <f t="shared" si="7"/>
        <v>2</v>
      </c>
      <c r="S83" s="268">
        <v>270000</v>
      </c>
      <c r="T83" s="52">
        <f t="shared" si="8"/>
        <v>540000</v>
      </c>
      <c r="U83" s="374"/>
      <c r="V83" s="366"/>
    </row>
    <row r="84" spans="1:23" s="55" customFormat="1" ht="16.2" thickBot="1" x14ac:dyDescent="0.35">
      <c r="A84" s="324"/>
      <c r="B84" s="306"/>
      <c r="C84" s="307"/>
      <c r="D84" s="308"/>
      <c r="E84" s="309"/>
      <c r="F84" s="310"/>
      <c r="G84" s="311"/>
      <c r="H84" s="310"/>
      <c r="I84" s="311"/>
      <c r="J84" s="311"/>
      <c r="K84" s="312"/>
      <c r="L84" s="312"/>
      <c r="M84" s="312"/>
      <c r="N84" s="312"/>
      <c r="O84" s="325"/>
      <c r="P84" s="319"/>
      <c r="Q84" s="315"/>
      <c r="R84" s="326"/>
      <c r="S84" s="313"/>
      <c r="T84" s="316"/>
      <c r="U84" s="372"/>
      <c r="V84" s="365"/>
    </row>
    <row r="85" spans="1:23" s="31" customFormat="1" ht="16.2" thickBot="1" x14ac:dyDescent="0.35">
      <c r="A85" s="327"/>
      <c r="B85" s="328"/>
      <c r="C85" s="329"/>
      <c r="D85" s="330"/>
      <c r="E85" s="331">
        <f>SUBTOTAL(103,E4:E75)</f>
        <v>0</v>
      </c>
      <c r="F85" s="332">
        <f>SUBTOTAL(103,F4:F82)</f>
        <v>33</v>
      </c>
      <c r="G85" s="332">
        <f t="shared" ref="G85:O85" si="13">SUBTOTAL(103,G4:G82)</f>
        <v>33</v>
      </c>
      <c r="H85" s="332">
        <f t="shared" si="13"/>
        <v>34</v>
      </c>
      <c r="I85" s="332">
        <f t="shared" si="13"/>
        <v>32</v>
      </c>
      <c r="J85" s="332">
        <f t="shared" si="13"/>
        <v>29</v>
      </c>
      <c r="K85" s="332">
        <f t="shared" si="13"/>
        <v>32</v>
      </c>
      <c r="L85" s="332">
        <f t="shared" si="13"/>
        <v>0</v>
      </c>
      <c r="M85" s="332">
        <f t="shared" si="13"/>
        <v>30</v>
      </c>
      <c r="N85" s="332"/>
      <c r="O85" s="332">
        <f t="shared" si="13"/>
        <v>27</v>
      </c>
      <c r="P85" s="332">
        <f>SUBTOTAL(103,P4:P75)</f>
        <v>72</v>
      </c>
      <c r="Q85" s="335">
        <f>SUBTOTAL(103,Q4:Q27)</f>
        <v>24</v>
      </c>
      <c r="R85" s="336">
        <f>SUBTOTAL(103,R4:R27)</f>
        <v>24</v>
      </c>
      <c r="S85" s="332">
        <f>SUBTOTAL(103,S4:S84)</f>
        <v>80</v>
      </c>
      <c r="T85" s="337">
        <f>SUBTOTAL(109,T4:T83)</f>
        <v>95295000</v>
      </c>
      <c r="U85" s="375"/>
      <c r="V85" s="338">
        <f>SUBTOTAL(109,V4:V84)</f>
        <v>1500000</v>
      </c>
      <c r="W85" s="208"/>
    </row>
    <row r="86" spans="1:23" x14ac:dyDescent="0.3">
      <c r="T86" s="76"/>
      <c r="U86" s="76"/>
      <c r="V86" s="368">
        <f>T85-V85</f>
        <v>93795000</v>
      </c>
    </row>
    <row r="87" spans="1:23" x14ac:dyDescent="0.3">
      <c r="T87" s="76"/>
      <c r="U87" s="76"/>
      <c r="V87" s="76"/>
    </row>
    <row r="88" spans="1:23" x14ac:dyDescent="0.3">
      <c r="T88" s="76"/>
      <c r="U88" s="76"/>
    </row>
  </sheetData>
  <autoFilter ref="A3:W83"/>
  <mergeCells count="11">
    <mergeCell ref="Q2:Q3"/>
    <mergeCell ref="A2:A3"/>
    <mergeCell ref="B2:B3"/>
    <mergeCell ref="C2:C3"/>
    <mergeCell ref="D2:D3"/>
    <mergeCell ref="P2:P3"/>
    <mergeCell ref="R2:R3"/>
    <mergeCell ref="S2:S3"/>
    <mergeCell ref="T2:T3"/>
    <mergeCell ref="V2:V3"/>
    <mergeCell ref="U2:U3"/>
  </mergeCells>
  <conditionalFormatting sqref="E85:O85">
    <cfRule type="expression" dxfId="5" priority="1">
      <formula>IF(E$3="cn",1,0)</formula>
    </cfRule>
  </conditionalFormatting>
  <pageMargins left="0.3" right="0.17" top="0.17" bottom="0.17" header="0.17" footer="0.17"/>
  <pageSetup scale="90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X88"/>
  <sheetViews>
    <sheetView workbookViewId="0">
      <selection activeCell="R16" sqref="R16"/>
    </sheetView>
  </sheetViews>
  <sheetFormatPr defaultRowHeight="15.6" x14ac:dyDescent="0.3"/>
  <cols>
    <col min="1" max="1" width="5.44140625" style="62" customWidth="1"/>
    <col min="2" max="2" width="19.5546875" style="1" customWidth="1"/>
    <col min="3" max="3" width="27.21875" style="1" customWidth="1"/>
    <col min="4" max="4" width="9.77734375" style="3" customWidth="1"/>
    <col min="5" max="5" width="3.77734375" style="129" customWidth="1"/>
    <col min="6" max="7" width="5.6640625" style="129" customWidth="1"/>
    <col min="8" max="16" width="5.6640625" style="176" customWidth="1"/>
    <col min="17" max="17" width="6.21875" style="176" customWidth="1"/>
    <col min="18" max="18" width="6.6640625" style="176" customWidth="1"/>
    <col min="19" max="19" width="7.33203125" style="176" customWidth="1"/>
    <col min="20" max="20" width="13.6640625" style="1" customWidth="1"/>
    <col min="21" max="21" width="13.77734375" style="1" customWidth="1"/>
    <col min="22" max="22" width="13.109375" style="1" customWidth="1"/>
    <col min="23" max="23" width="12.5546875" style="1" customWidth="1"/>
    <col min="24" max="24" width="22" style="1" customWidth="1"/>
    <col min="25" max="16384" width="8.88671875" style="1"/>
  </cols>
  <sheetData>
    <row r="1" spans="1:24" ht="30.6" customHeight="1" thickBot="1" x14ac:dyDescent="0.35">
      <c r="A1" s="154" t="s">
        <v>406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73"/>
      <c r="T1" s="173"/>
      <c r="U1" s="173"/>
      <c r="V1" s="173"/>
      <c r="W1" s="173"/>
    </row>
    <row r="2" spans="1:24" s="3" customForma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22">
        <v>1</v>
      </c>
      <c r="F2" s="23">
        <v>21</v>
      </c>
      <c r="G2" s="23">
        <f t="shared" ref="G2:N2" si="0">F2+1</f>
        <v>22</v>
      </c>
      <c r="H2" s="23">
        <f t="shared" si="0"/>
        <v>23</v>
      </c>
      <c r="I2" s="23">
        <f t="shared" si="0"/>
        <v>24</v>
      </c>
      <c r="J2" s="23">
        <f t="shared" si="0"/>
        <v>25</v>
      </c>
      <c r="K2" s="23">
        <f t="shared" si="0"/>
        <v>26</v>
      </c>
      <c r="L2" s="23">
        <f t="shared" si="0"/>
        <v>27</v>
      </c>
      <c r="M2" s="23">
        <f t="shared" si="0"/>
        <v>28</v>
      </c>
      <c r="N2" s="23">
        <f t="shared" si="0"/>
        <v>29</v>
      </c>
      <c r="O2" s="23">
        <v>30</v>
      </c>
      <c r="P2" s="23">
        <v>31</v>
      </c>
      <c r="Q2" s="420" t="s">
        <v>6</v>
      </c>
      <c r="R2" s="422" t="s">
        <v>7</v>
      </c>
      <c r="S2" s="436" t="s">
        <v>357</v>
      </c>
      <c r="T2" s="438" t="s">
        <v>30</v>
      </c>
      <c r="U2" s="428" t="s">
        <v>33</v>
      </c>
      <c r="V2" s="442" t="s">
        <v>396</v>
      </c>
      <c r="W2" s="430" t="s">
        <v>127</v>
      </c>
    </row>
    <row r="3" spans="1:24" s="3" customFormat="1" ht="16.2" thickBot="1" x14ac:dyDescent="0.35">
      <c r="A3" s="415"/>
      <c r="B3" s="417"/>
      <c r="C3" s="417"/>
      <c r="D3" s="425"/>
      <c r="E3" s="125" t="s">
        <v>98</v>
      </c>
      <c r="F3" s="213" t="s">
        <v>96</v>
      </c>
      <c r="G3" s="377" t="s">
        <v>98</v>
      </c>
      <c r="H3" s="378" t="s">
        <v>99</v>
      </c>
      <c r="I3" s="378" t="s">
        <v>93</v>
      </c>
      <c r="J3" s="213" t="s">
        <v>94</v>
      </c>
      <c r="K3" s="378" t="s">
        <v>95</v>
      </c>
      <c r="L3" s="213" t="s">
        <v>97</v>
      </c>
      <c r="M3" s="213" t="s">
        <v>96</v>
      </c>
      <c r="N3" s="377" t="s">
        <v>98</v>
      </c>
      <c r="O3" s="213" t="s">
        <v>99</v>
      </c>
      <c r="P3" s="377" t="s">
        <v>93</v>
      </c>
      <c r="Q3" s="421"/>
      <c r="R3" s="423"/>
      <c r="S3" s="437"/>
      <c r="T3" s="439"/>
      <c r="U3" s="440"/>
      <c r="V3" s="443"/>
      <c r="W3" s="441"/>
    </row>
    <row r="4" spans="1:24" s="3" customFormat="1" ht="15.6" customHeigh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263"/>
      <c r="F4" s="264" t="s">
        <v>9</v>
      </c>
      <c r="G4" s="264" t="s">
        <v>9</v>
      </c>
      <c r="H4" s="265" t="s">
        <v>9</v>
      </c>
      <c r="I4" s="264" t="s">
        <v>9</v>
      </c>
      <c r="J4" s="264" t="s">
        <v>9</v>
      </c>
      <c r="K4" s="266" t="s">
        <v>9</v>
      </c>
      <c r="L4" s="266"/>
      <c r="M4" s="266" t="s">
        <v>9</v>
      </c>
      <c r="N4" s="266" t="s">
        <v>9</v>
      </c>
      <c r="O4" s="266" t="s">
        <v>8</v>
      </c>
      <c r="P4" s="320" t="s">
        <v>9</v>
      </c>
      <c r="Q4" s="122">
        <f t="shared" ref="Q4:Q67" si="1">COUNTIF(E4:P4,"X")</f>
        <v>9</v>
      </c>
      <c r="R4" s="123">
        <f>COUNTIF(E4:I4,"X/2")/2</f>
        <v>0</v>
      </c>
      <c r="S4" s="272">
        <f t="shared" ref="S4:S67" si="2">SUM(Q4:R4)</f>
        <v>9</v>
      </c>
      <c r="T4" s="268">
        <v>550000</v>
      </c>
      <c r="U4" s="376">
        <f t="shared" ref="U4:U67" si="3">S4*T4</f>
        <v>4950000</v>
      </c>
      <c r="V4" s="369"/>
      <c r="W4" s="367">
        <v>1500000</v>
      </c>
      <c r="X4" s="31"/>
    </row>
    <row r="5" spans="1:24" s="31" customFormat="1" ht="15.6" customHeigh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 t="s">
        <v>9</v>
      </c>
      <c r="G5" s="21" t="s">
        <v>9</v>
      </c>
      <c r="H5" s="35" t="s">
        <v>9</v>
      </c>
      <c r="I5" s="21" t="s">
        <v>9</v>
      </c>
      <c r="J5" s="21" t="s">
        <v>9</v>
      </c>
      <c r="K5" s="210"/>
      <c r="L5" s="210"/>
      <c r="M5" s="210"/>
      <c r="N5" s="210"/>
      <c r="O5" s="210"/>
      <c r="P5" s="25"/>
      <c r="Q5" s="51">
        <f t="shared" si="1"/>
        <v>5</v>
      </c>
      <c r="R5" s="78">
        <f t="shared" ref="R5:R68" si="4">COUNTIF(E5:P5,"X/2")/2</f>
        <v>0</v>
      </c>
      <c r="S5" s="273">
        <f t="shared" si="2"/>
        <v>5</v>
      </c>
      <c r="T5" s="269">
        <v>380000</v>
      </c>
      <c r="U5" s="52">
        <f t="shared" si="3"/>
        <v>1900000</v>
      </c>
      <c r="V5" s="370"/>
      <c r="W5" s="355"/>
    </row>
    <row r="6" spans="1:24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/>
      <c r="F6" s="21"/>
      <c r="G6" s="21"/>
      <c r="H6" s="35"/>
      <c r="I6" s="21"/>
      <c r="J6" s="21"/>
      <c r="K6" s="210"/>
      <c r="L6" s="210"/>
      <c r="M6" s="210"/>
      <c r="N6" s="210"/>
      <c r="O6" s="210"/>
      <c r="P6" s="25"/>
      <c r="Q6" s="51">
        <f t="shared" si="1"/>
        <v>0</v>
      </c>
      <c r="R6" s="78">
        <f t="shared" si="4"/>
        <v>0</v>
      </c>
      <c r="S6" s="273">
        <f t="shared" si="2"/>
        <v>0</v>
      </c>
      <c r="T6" s="269">
        <v>370000</v>
      </c>
      <c r="U6" s="52">
        <f t="shared" si="3"/>
        <v>0</v>
      </c>
      <c r="V6" s="370"/>
      <c r="W6" s="355"/>
    </row>
    <row r="7" spans="1:24" s="31" customFormat="1" ht="15.6" customHeight="1" x14ac:dyDescent="0.3">
      <c r="A7" s="61">
        <f t="shared" ref="A7:A70" si="5">A6+1</f>
        <v>4</v>
      </c>
      <c r="B7" s="28" t="s">
        <v>37</v>
      </c>
      <c r="C7" s="48" t="s">
        <v>60</v>
      </c>
      <c r="D7" s="202" t="s">
        <v>4</v>
      </c>
      <c r="E7" s="41"/>
      <c r="F7" s="21"/>
      <c r="G7" s="21" t="s">
        <v>9</v>
      </c>
      <c r="H7" s="35"/>
      <c r="I7" s="21"/>
      <c r="J7" s="21"/>
      <c r="K7" s="210"/>
      <c r="L7" s="210"/>
      <c r="M7" s="210"/>
      <c r="N7" s="210"/>
      <c r="O7" s="210"/>
      <c r="P7" s="25"/>
      <c r="Q7" s="51">
        <f t="shared" si="1"/>
        <v>1</v>
      </c>
      <c r="R7" s="78">
        <f t="shared" si="4"/>
        <v>0</v>
      </c>
      <c r="S7" s="273">
        <f t="shared" si="2"/>
        <v>1</v>
      </c>
      <c r="T7" s="269">
        <v>370000</v>
      </c>
      <c r="U7" s="52">
        <f t="shared" si="3"/>
        <v>370000</v>
      </c>
      <c r="V7" s="369"/>
      <c r="W7" s="356"/>
    </row>
    <row r="8" spans="1:24" s="31" customFormat="1" ht="15.6" customHeight="1" x14ac:dyDescent="0.3">
      <c r="A8" s="61">
        <f t="shared" si="5"/>
        <v>5</v>
      </c>
      <c r="B8" s="28" t="s">
        <v>38</v>
      </c>
      <c r="C8" s="48" t="s">
        <v>80</v>
      </c>
      <c r="D8" s="202" t="s">
        <v>17</v>
      </c>
      <c r="E8" s="41"/>
      <c r="F8" s="21"/>
      <c r="G8" s="21"/>
      <c r="H8" s="35"/>
      <c r="I8" s="21" t="s">
        <v>9</v>
      </c>
      <c r="J8" s="21" t="s">
        <v>9</v>
      </c>
      <c r="K8" s="210"/>
      <c r="L8" s="210"/>
      <c r="M8" s="210"/>
      <c r="N8" s="210"/>
      <c r="O8" s="210"/>
      <c r="P8" s="25"/>
      <c r="Q8" s="51">
        <f t="shared" si="1"/>
        <v>2</v>
      </c>
      <c r="R8" s="78">
        <f t="shared" si="4"/>
        <v>0</v>
      </c>
      <c r="S8" s="273">
        <f t="shared" si="2"/>
        <v>2</v>
      </c>
      <c r="T8" s="269">
        <v>350000</v>
      </c>
      <c r="U8" s="52">
        <f t="shared" si="3"/>
        <v>700000</v>
      </c>
      <c r="V8" s="370"/>
      <c r="W8" s="355"/>
    </row>
    <row r="9" spans="1:24" s="55" customFormat="1" ht="15.6" customHeight="1" x14ac:dyDescent="0.3">
      <c r="A9" s="294">
        <f t="shared" si="5"/>
        <v>6</v>
      </c>
      <c r="B9" s="158" t="s">
        <v>145</v>
      </c>
      <c r="C9" s="29" t="s">
        <v>60</v>
      </c>
      <c r="D9" s="203" t="s">
        <v>5</v>
      </c>
      <c r="E9" s="41"/>
      <c r="F9" s="21" t="s">
        <v>9</v>
      </c>
      <c r="G9" s="21" t="s">
        <v>9</v>
      </c>
      <c r="H9" s="35" t="s">
        <v>9</v>
      </c>
      <c r="I9" s="21"/>
      <c r="J9" s="21" t="s">
        <v>9</v>
      </c>
      <c r="K9" s="210" t="s">
        <v>9</v>
      </c>
      <c r="L9" s="210"/>
      <c r="M9" s="210" t="s">
        <v>9</v>
      </c>
      <c r="N9" s="210" t="s">
        <v>9</v>
      </c>
      <c r="O9" s="210" t="s">
        <v>9</v>
      </c>
      <c r="P9" s="25"/>
      <c r="Q9" s="51">
        <f t="shared" si="1"/>
        <v>8</v>
      </c>
      <c r="R9" s="78">
        <f t="shared" si="4"/>
        <v>0</v>
      </c>
      <c r="S9" s="273">
        <f t="shared" si="2"/>
        <v>8</v>
      </c>
      <c r="T9" s="269">
        <v>350000</v>
      </c>
      <c r="U9" s="52">
        <f t="shared" si="3"/>
        <v>2800000</v>
      </c>
      <c r="V9" s="370"/>
      <c r="W9" s="358"/>
    </row>
    <row r="10" spans="1:24" s="31" customFormat="1" ht="15.6" customHeight="1" x14ac:dyDescent="0.3">
      <c r="A10" s="61">
        <f t="shared" si="5"/>
        <v>7</v>
      </c>
      <c r="B10" s="28" t="s">
        <v>34</v>
      </c>
      <c r="C10" s="48" t="s">
        <v>80</v>
      </c>
      <c r="D10" s="202" t="s">
        <v>5</v>
      </c>
      <c r="E10" s="41"/>
      <c r="F10" s="21" t="s">
        <v>9</v>
      </c>
      <c r="G10" s="21" t="s">
        <v>9</v>
      </c>
      <c r="H10" s="35" t="s">
        <v>9</v>
      </c>
      <c r="I10" s="21" t="s">
        <v>9</v>
      </c>
      <c r="J10" s="21" t="s">
        <v>9</v>
      </c>
      <c r="K10" s="210"/>
      <c r="L10" s="210"/>
      <c r="M10" s="210"/>
      <c r="N10" s="210"/>
      <c r="O10" s="210"/>
      <c r="P10" s="25"/>
      <c r="Q10" s="51">
        <f t="shared" si="1"/>
        <v>5</v>
      </c>
      <c r="R10" s="78">
        <f t="shared" si="4"/>
        <v>0</v>
      </c>
      <c r="S10" s="273">
        <f t="shared" si="2"/>
        <v>5</v>
      </c>
      <c r="T10" s="269">
        <v>300000</v>
      </c>
      <c r="U10" s="52">
        <f t="shared" si="3"/>
        <v>1500000</v>
      </c>
      <c r="V10" s="370"/>
      <c r="W10" s="358"/>
    </row>
    <row r="11" spans="1:24" s="31" customFormat="1" ht="15.6" customHeight="1" x14ac:dyDescent="0.3">
      <c r="A11" s="61">
        <f t="shared" si="5"/>
        <v>8</v>
      </c>
      <c r="B11" s="28" t="s">
        <v>46</v>
      </c>
      <c r="C11" s="48" t="s">
        <v>60</v>
      </c>
      <c r="D11" s="202" t="s">
        <v>5</v>
      </c>
      <c r="E11" s="41"/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/>
      <c r="M11" s="210"/>
      <c r="N11" s="210"/>
      <c r="O11" s="210"/>
      <c r="P11" s="25"/>
      <c r="Q11" s="51">
        <f t="shared" si="1"/>
        <v>6</v>
      </c>
      <c r="R11" s="78">
        <f t="shared" si="4"/>
        <v>0</v>
      </c>
      <c r="S11" s="273">
        <f t="shared" si="2"/>
        <v>6</v>
      </c>
      <c r="T11" s="269">
        <v>360000</v>
      </c>
      <c r="U11" s="52">
        <f t="shared" si="3"/>
        <v>2160000</v>
      </c>
      <c r="V11" s="370"/>
      <c r="W11" s="355"/>
    </row>
    <row r="12" spans="1:24" s="31" customFormat="1" x14ac:dyDescent="0.3">
      <c r="A12" s="61">
        <f t="shared" si="5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10"/>
      <c r="O12" s="210"/>
      <c r="P12" s="25"/>
      <c r="Q12" s="51">
        <f t="shared" si="1"/>
        <v>0</v>
      </c>
      <c r="R12" s="78">
        <f t="shared" si="4"/>
        <v>0</v>
      </c>
      <c r="S12" s="273">
        <f t="shared" si="2"/>
        <v>0</v>
      </c>
      <c r="T12" s="269">
        <v>400000</v>
      </c>
      <c r="U12" s="52">
        <f t="shared" si="3"/>
        <v>0</v>
      </c>
      <c r="V12" s="370"/>
      <c r="W12" s="355"/>
    </row>
    <row r="13" spans="1:24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10"/>
      <c r="O13" s="210"/>
      <c r="P13" s="25"/>
      <c r="Q13" s="51">
        <f t="shared" si="1"/>
        <v>0</v>
      </c>
      <c r="R13" s="78">
        <f t="shared" si="4"/>
        <v>0</v>
      </c>
      <c r="S13" s="273">
        <f t="shared" si="2"/>
        <v>0</v>
      </c>
      <c r="T13" s="269">
        <v>280000</v>
      </c>
      <c r="U13" s="52">
        <f t="shared" si="3"/>
        <v>0</v>
      </c>
      <c r="V13" s="370"/>
      <c r="W13" s="355"/>
    </row>
    <row r="14" spans="1:24" s="31" customFormat="1" ht="15.6" customHeight="1" x14ac:dyDescent="0.3">
      <c r="A14" s="61">
        <f t="shared" si="5"/>
        <v>11</v>
      </c>
      <c r="B14" s="28" t="s">
        <v>41</v>
      </c>
      <c r="C14" s="48" t="s">
        <v>80</v>
      </c>
      <c r="D14" s="202" t="s">
        <v>4</v>
      </c>
      <c r="E14" s="41"/>
      <c r="F14" s="21"/>
      <c r="G14" s="21" t="s">
        <v>9</v>
      </c>
      <c r="H14" s="35" t="s">
        <v>9</v>
      </c>
      <c r="I14" s="21" t="s">
        <v>8</v>
      </c>
      <c r="J14" s="21" t="s">
        <v>9</v>
      </c>
      <c r="K14" s="210" t="s">
        <v>9</v>
      </c>
      <c r="L14" s="210"/>
      <c r="M14" s="210"/>
      <c r="N14" s="210"/>
      <c r="O14" s="210" t="s">
        <v>8</v>
      </c>
      <c r="P14" s="25" t="s">
        <v>9</v>
      </c>
      <c r="Q14" s="51">
        <f t="shared" si="1"/>
        <v>5</v>
      </c>
      <c r="R14" s="78">
        <f t="shared" si="4"/>
        <v>1</v>
      </c>
      <c r="S14" s="273">
        <f t="shared" si="2"/>
        <v>6</v>
      </c>
      <c r="T14" s="269">
        <v>400000</v>
      </c>
      <c r="U14" s="52">
        <f>S14*T14+550000</f>
        <v>2950000</v>
      </c>
      <c r="V14" s="370"/>
      <c r="W14" s="355"/>
    </row>
    <row r="15" spans="1:24" s="31" customFormat="1" ht="15.6" customHeight="1" x14ac:dyDescent="0.3">
      <c r="A15" s="61">
        <f t="shared" si="5"/>
        <v>12</v>
      </c>
      <c r="B15" s="28" t="s">
        <v>47</v>
      </c>
      <c r="C15" s="48"/>
      <c r="D15" s="202" t="s">
        <v>4</v>
      </c>
      <c r="E15" s="41"/>
      <c r="F15" s="21" t="s">
        <v>9</v>
      </c>
      <c r="G15" s="21" t="s">
        <v>9</v>
      </c>
      <c r="H15" s="35" t="s">
        <v>9</v>
      </c>
      <c r="I15" s="21" t="s">
        <v>9</v>
      </c>
      <c r="J15" s="21" t="s">
        <v>9</v>
      </c>
      <c r="K15" s="210" t="s">
        <v>8</v>
      </c>
      <c r="L15" s="210"/>
      <c r="M15" s="210"/>
      <c r="N15" s="210"/>
      <c r="O15" s="210"/>
      <c r="P15" s="25"/>
      <c r="Q15" s="51">
        <f t="shared" si="1"/>
        <v>5</v>
      </c>
      <c r="R15" s="78">
        <f t="shared" si="4"/>
        <v>0.5</v>
      </c>
      <c r="S15" s="273">
        <f t="shared" si="2"/>
        <v>5.5</v>
      </c>
      <c r="T15" s="269">
        <v>390000</v>
      </c>
      <c r="U15" s="52">
        <f t="shared" si="3"/>
        <v>2145000</v>
      </c>
      <c r="V15" s="370"/>
      <c r="W15" s="355"/>
    </row>
    <row r="16" spans="1:24" s="31" customFormat="1" x14ac:dyDescent="0.3">
      <c r="A16" s="61">
        <f t="shared" si="5"/>
        <v>13</v>
      </c>
      <c r="B16" s="28" t="s">
        <v>61</v>
      </c>
      <c r="C16" s="48" t="s">
        <v>60</v>
      </c>
      <c r="D16" s="203" t="s">
        <v>4</v>
      </c>
      <c r="E16" s="41"/>
      <c r="F16" s="21"/>
      <c r="G16" s="21"/>
      <c r="H16" s="35"/>
      <c r="I16" s="21"/>
      <c r="J16" s="21"/>
      <c r="K16" s="210"/>
      <c r="L16" s="210"/>
      <c r="M16" s="210"/>
      <c r="N16" s="210"/>
      <c r="O16" s="210"/>
      <c r="P16" s="25"/>
      <c r="Q16" s="51">
        <f t="shared" si="1"/>
        <v>0</v>
      </c>
      <c r="R16" s="78">
        <f t="shared" si="4"/>
        <v>0</v>
      </c>
      <c r="S16" s="273">
        <f t="shared" si="2"/>
        <v>0</v>
      </c>
      <c r="T16" s="270">
        <v>370000</v>
      </c>
      <c r="U16" s="52">
        <f t="shared" si="3"/>
        <v>0</v>
      </c>
      <c r="V16" s="370"/>
      <c r="W16" s="355"/>
    </row>
    <row r="17" spans="1:23" s="31" customFormat="1" x14ac:dyDescent="0.3">
      <c r="A17" s="61">
        <f t="shared" si="5"/>
        <v>14</v>
      </c>
      <c r="B17" s="28" t="s">
        <v>62</v>
      </c>
      <c r="C17" s="48"/>
      <c r="D17" s="203" t="s">
        <v>4</v>
      </c>
      <c r="E17" s="41"/>
      <c r="F17" s="21"/>
      <c r="G17" s="21"/>
      <c r="H17" s="35"/>
      <c r="I17" s="21"/>
      <c r="J17" s="21"/>
      <c r="K17" s="210"/>
      <c r="L17" s="210"/>
      <c r="M17" s="210"/>
      <c r="N17" s="210"/>
      <c r="O17" s="210"/>
      <c r="P17" s="25"/>
      <c r="Q17" s="51">
        <f t="shared" si="1"/>
        <v>0</v>
      </c>
      <c r="R17" s="78">
        <f t="shared" si="4"/>
        <v>0</v>
      </c>
      <c r="S17" s="273">
        <f t="shared" si="2"/>
        <v>0</v>
      </c>
      <c r="T17" s="270">
        <v>360000</v>
      </c>
      <c r="U17" s="52">
        <f t="shared" si="3"/>
        <v>0</v>
      </c>
      <c r="V17" s="370"/>
      <c r="W17" s="355"/>
    </row>
    <row r="18" spans="1:23" s="31" customFormat="1" ht="15.6" customHeight="1" x14ac:dyDescent="0.3">
      <c r="A18" s="61">
        <f t="shared" si="5"/>
        <v>15</v>
      </c>
      <c r="B18" s="28" t="s">
        <v>63</v>
      </c>
      <c r="C18" s="48" t="s">
        <v>60</v>
      </c>
      <c r="D18" s="203" t="s">
        <v>4</v>
      </c>
      <c r="E18" s="41"/>
      <c r="F18" s="21" t="s">
        <v>9</v>
      </c>
      <c r="G18" s="21" t="s">
        <v>9</v>
      </c>
      <c r="H18" s="35" t="s">
        <v>9</v>
      </c>
      <c r="I18" s="21" t="s">
        <v>9</v>
      </c>
      <c r="J18" s="21" t="s">
        <v>9</v>
      </c>
      <c r="K18" s="210" t="s">
        <v>8</v>
      </c>
      <c r="L18" s="210"/>
      <c r="M18" s="210"/>
      <c r="N18" s="210"/>
      <c r="O18" s="210"/>
      <c r="P18" s="25"/>
      <c r="Q18" s="51">
        <f t="shared" si="1"/>
        <v>5</v>
      </c>
      <c r="R18" s="78">
        <f t="shared" si="4"/>
        <v>0.5</v>
      </c>
      <c r="S18" s="273">
        <f t="shared" si="2"/>
        <v>5.5</v>
      </c>
      <c r="T18" s="270">
        <v>380000</v>
      </c>
      <c r="U18" s="52">
        <f t="shared" si="3"/>
        <v>2090000</v>
      </c>
      <c r="V18" s="370"/>
      <c r="W18" s="355"/>
    </row>
    <row r="19" spans="1:23" s="31" customFormat="1" x14ac:dyDescent="0.3">
      <c r="A19" s="61">
        <f t="shared" si="5"/>
        <v>16</v>
      </c>
      <c r="B19" s="28" t="s">
        <v>59</v>
      </c>
      <c r="C19" s="48" t="s">
        <v>60</v>
      </c>
      <c r="D19" s="203" t="s">
        <v>5</v>
      </c>
      <c r="E19" s="41"/>
      <c r="F19" s="21"/>
      <c r="G19" s="21"/>
      <c r="H19" s="35"/>
      <c r="I19" s="21"/>
      <c r="J19" s="21"/>
      <c r="K19" s="210"/>
      <c r="L19" s="210"/>
      <c r="M19" s="210"/>
      <c r="N19" s="210"/>
      <c r="O19" s="210"/>
      <c r="P19" s="25"/>
      <c r="Q19" s="51">
        <f t="shared" si="1"/>
        <v>0</v>
      </c>
      <c r="R19" s="78">
        <f t="shared" si="4"/>
        <v>0</v>
      </c>
      <c r="S19" s="273">
        <f t="shared" si="2"/>
        <v>0</v>
      </c>
      <c r="T19" s="270">
        <v>270000</v>
      </c>
      <c r="U19" s="52">
        <f t="shared" si="3"/>
        <v>0</v>
      </c>
      <c r="V19" s="370"/>
      <c r="W19" s="355"/>
    </row>
    <row r="20" spans="1:23" s="31" customFormat="1" x14ac:dyDescent="0.3">
      <c r="A20" s="61">
        <f t="shared" si="5"/>
        <v>17</v>
      </c>
      <c r="B20" s="28" t="s">
        <v>64</v>
      </c>
      <c r="C20" s="48" t="s">
        <v>60</v>
      </c>
      <c r="D20" s="203" t="s">
        <v>4</v>
      </c>
      <c r="E20" s="41"/>
      <c r="F20" s="21"/>
      <c r="G20" s="21"/>
      <c r="H20" s="35"/>
      <c r="I20" s="21"/>
      <c r="J20" s="21"/>
      <c r="K20" s="210"/>
      <c r="L20" s="210"/>
      <c r="M20" s="210"/>
      <c r="N20" s="210"/>
      <c r="O20" s="210"/>
      <c r="P20" s="25"/>
      <c r="Q20" s="51">
        <f t="shared" si="1"/>
        <v>0</v>
      </c>
      <c r="R20" s="78">
        <f t="shared" si="4"/>
        <v>0</v>
      </c>
      <c r="S20" s="273">
        <f t="shared" si="2"/>
        <v>0</v>
      </c>
      <c r="T20" s="270">
        <v>380000</v>
      </c>
      <c r="U20" s="52">
        <f t="shared" si="3"/>
        <v>0</v>
      </c>
      <c r="V20" s="370"/>
      <c r="W20" s="355"/>
    </row>
    <row r="21" spans="1:23" s="55" customFormat="1" x14ac:dyDescent="0.3">
      <c r="A21" s="61">
        <f t="shared" si="5"/>
        <v>18</v>
      </c>
      <c r="B21" s="158" t="s">
        <v>65</v>
      </c>
      <c r="C21" s="29" t="s">
        <v>60</v>
      </c>
      <c r="D21" s="203" t="s">
        <v>4</v>
      </c>
      <c r="E21" s="41"/>
      <c r="F21" s="21"/>
      <c r="G21" s="21"/>
      <c r="H21" s="35"/>
      <c r="I21" s="21"/>
      <c r="J21" s="21"/>
      <c r="K21" s="210"/>
      <c r="L21" s="210"/>
      <c r="M21" s="210"/>
      <c r="N21" s="210"/>
      <c r="O21" s="210"/>
      <c r="P21" s="25"/>
      <c r="Q21" s="51">
        <f t="shared" si="1"/>
        <v>0</v>
      </c>
      <c r="R21" s="78">
        <f t="shared" si="4"/>
        <v>0</v>
      </c>
      <c r="S21" s="273">
        <f t="shared" si="2"/>
        <v>0</v>
      </c>
      <c r="T21" s="270">
        <v>370000</v>
      </c>
      <c r="U21" s="52">
        <f t="shared" si="3"/>
        <v>0</v>
      </c>
      <c r="V21" s="370"/>
      <c r="W21" s="358"/>
    </row>
    <row r="22" spans="1:23" s="31" customFormat="1" ht="15.6" customHeight="1" x14ac:dyDescent="0.3">
      <c r="A22" s="61">
        <f t="shared" si="5"/>
        <v>19</v>
      </c>
      <c r="B22" s="48" t="s">
        <v>126</v>
      </c>
      <c r="C22" s="48"/>
      <c r="D22" s="204" t="s">
        <v>5</v>
      </c>
      <c r="E22" s="41"/>
      <c r="F22" s="21" t="s">
        <v>9</v>
      </c>
      <c r="G22" s="21" t="s">
        <v>9</v>
      </c>
      <c r="H22" s="35" t="s">
        <v>9</v>
      </c>
      <c r="I22" s="21" t="s">
        <v>9</v>
      </c>
      <c r="J22" s="21" t="s">
        <v>9</v>
      </c>
      <c r="K22" s="210" t="s">
        <v>9</v>
      </c>
      <c r="L22" s="210"/>
      <c r="M22" s="210"/>
      <c r="N22" s="210"/>
      <c r="O22" s="210"/>
      <c r="P22" s="25" t="s">
        <v>9</v>
      </c>
      <c r="Q22" s="51">
        <f t="shared" si="1"/>
        <v>7</v>
      </c>
      <c r="R22" s="78">
        <f t="shared" si="4"/>
        <v>0</v>
      </c>
      <c r="S22" s="273">
        <f t="shared" si="2"/>
        <v>7</v>
      </c>
      <c r="T22" s="269">
        <v>280000</v>
      </c>
      <c r="U22" s="52">
        <f t="shared" si="3"/>
        <v>1960000</v>
      </c>
      <c r="V22" s="370"/>
      <c r="W22" s="355"/>
    </row>
    <row r="23" spans="1:23" s="31" customFormat="1" ht="15.6" customHeight="1" x14ac:dyDescent="0.3">
      <c r="A23" s="61">
        <f t="shared" si="5"/>
        <v>20</v>
      </c>
      <c r="B23" s="116" t="s">
        <v>143</v>
      </c>
      <c r="C23" s="116"/>
      <c r="D23" s="205" t="s">
        <v>4</v>
      </c>
      <c r="E23" s="41"/>
      <c r="F23" s="21" t="s">
        <v>9</v>
      </c>
      <c r="G23" s="21" t="s">
        <v>9</v>
      </c>
      <c r="H23" s="35" t="s">
        <v>9</v>
      </c>
      <c r="I23" s="21" t="s">
        <v>9</v>
      </c>
      <c r="J23" s="21" t="s">
        <v>9</v>
      </c>
      <c r="K23" s="210" t="s">
        <v>9</v>
      </c>
      <c r="L23" s="210"/>
      <c r="M23" s="210"/>
      <c r="N23" s="210"/>
      <c r="O23" s="210" t="s">
        <v>8</v>
      </c>
      <c r="P23" s="25"/>
      <c r="Q23" s="51">
        <f t="shared" si="1"/>
        <v>6</v>
      </c>
      <c r="R23" s="78">
        <f t="shared" si="4"/>
        <v>0.5</v>
      </c>
      <c r="S23" s="273">
        <f t="shared" si="2"/>
        <v>6.5</v>
      </c>
      <c r="T23" s="270">
        <v>380000</v>
      </c>
      <c r="U23" s="52">
        <f t="shared" si="3"/>
        <v>2470000</v>
      </c>
      <c r="V23" s="371"/>
      <c r="W23" s="359"/>
    </row>
    <row r="24" spans="1:23" s="31" customFormat="1" ht="15.6" customHeight="1" x14ac:dyDescent="0.3">
      <c r="A24" s="61">
        <f t="shared" si="5"/>
        <v>21</v>
      </c>
      <c r="B24" s="116" t="s">
        <v>144</v>
      </c>
      <c r="C24" s="116"/>
      <c r="D24" s="205" t="s">
        <v>4</v>
      </c>
      <c r="E24" s="41"/>
      <c r="F24" s="21" t="s">
        <v>9</v>
      </c>
      <c r="G24" s="21" t="s">
        <v>9</v>
      </c>
      <c r="H24" s="35" t="s">
        <v>9</v>
      </c>
      <c r="I24" s="21" t="s">
        <v>9</v>
      </c>
      <c r="J24" s="21" t="s">
        <v>9</v>
      </c>
      <c r="K24" s="210" t="s">
        <v>9</v>
      </c>
      <c r="L24" s="210"/>
      <c r="M24" s="210"/>
      <c r="N24" s="210"/>
      <c r="O24" s="210"/>
      <c r="P24" s="25"/>
      <c r="Q24" s="51">
        <f t="shared" si="1"/>
        <v>6</v>
      </c>
      <c r="R24" s="78">
        <f t="shared" si="4"/>
        <v>0</v>
      </c>
      <c r="S24" s="273">
        <f t="shared" si="2"/>
        <v>6</v>
      </c>
      <c r="T24" s="270">
        <v>280000</v>
      </c>
      <c r="U24" s="52">
        <f t="shared" si="3"/>
        <v>1680000</v>
      </c>
      <c r="V24" s="371"/>
      <c r="W24" s="359"/>
    </row>
    <row r="25" spans="1:23" s="31" customFormat="1" x14ac:dyDescent="0.3">
      <c r="A25" s="61">
        <f t="shared" si="5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10"/>
      <c r="O25" s="210"/>
      <c r="P25" s="25"/>
      <c r="Q25" s="51">
        <f t="shared" si="1"/>
        <v>0</v>
      </c>
      <c r="R25" s="78">
        <f t="shared" si="4"/>
        <v>0</v>
      </c>
      <c r="S25" s="273">
        <f t="shared" si="2"/>
        <v>0</v>
      </c>
      <c r="T25" s="270">
        <v>270000</v>
      </c>
      <c r="U25" s="52">
        <f t="shared" si="3"/>
        <v>0</v>
      </c>
      <c r="V25" s="371"/>
      <c r="W25" s="359"/>
    </row>
    <row r="26" spans="1:23" s="31" customFormat="1" ht="15.6" customHeight="1" x14ac:dyDescent="0.3">
      <c r="A26" s="61">
        <f t="shared" si="5"/>
        <v>23</v>
      </c>
      <c r="B26" s="116" t="s">
        <v>171</v>
      </c>
      <c r="C26" s="116"/>
      <c r="D26" s="205" t="s">
        <v>5</v>
      </c>
      <c r="E26" s="127"/>
      <c r="F26" s="21" t="s">
        <v>9</v>
      </c>
      <c r="G26" s="21" t="s">
        <v>9</v>
      </c>
      <c r="H26" s="35" t="s">
        <v>9</v>
      </c>
      <c r="I26" s="21" t="s">
        <v>9</v>
      </c>
      <c r="J26" s="21"/>
      <c r="K26" s="210"/>
      <c r="L26" s="210"/>
      <c r="M26" s="210"/>
      <c r="N26" s="210"/>
      <c r="O26" s="210"/>
      <c r="P26" s="25"/>
      <c r="Q26" s="51">
        <f t="shared" si="1"/>
        <v>4</v>
      </c>
      <c r="R26" s="78">
        <f t="shared" si="4"/>
        <v>0</v>
      </c>
      <c r="S26" s="273">
        <f t="shared" si="2"/>
        <v>4</v>
      </c>
      <c r="T26" s="270">
        <v>280000</v>
      </c>
      <c r="U26" s="53">
        <f t="shared" si="3"/>
        <v>1120000</v>
      </c>
      <c r="V26" s="371"/>
      <c r="W26" s="359"/>
    </row>
    <row r="27" spans="1:23" s="31" customFormat="1" x14ac:dyDescent="0.3">
      <c r="A27" s="61">
        <f t="shared" si="5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211"/>
      <c r="O27" s="211"/>
      <c r="P27" s="33"/>
      <c r="Q27" s="51">
        <f t="shared" si="1"/>
        <v>0</v>
      </c>
      <c r="R27" s="78">
        <f t="shared" si="4"/>
        <v>0</v>
      </c>
      <c r="S27" s="273">
        <f t="shared" si="2"/>
        <v>0</v>
      </c>
      <c r="T27" s="270">
        <v>370000</v>
      </c>
      <c r="U27" s="53">
        <f t="shared" si="3"/>
        <v>0</v>
      </c>
      <c r="V27" s="371"/>
      <c r="W27" s="359"/>
    </row>
    <row r="28" spans="1:23" s="55" customFormat="1" ht="15.6" customHeight="1" x14ac:dyDescent="0.3">
      <c r="A28" s="294">
        <v>25</v>
      </c>
      <c r="B28" s="159" t="s">
        <v>194</v>
      </c>
      <c r="C28" s="159"/>
      <c r="D28" s="206" t="s">
        <v>4</v>
      </c>
      <c r="E28" s="127"/>
      <c r="F28" s="32" t="s">
        <v>9</v>
      </c>
      <c r="G28" s="32" t="s">
        <v>8</v>
      </c>
      <c r="H28" s="36"/>
      <c r="I28" s="32"/>
      <c r="J28" s="32"/>
      <c r="K28" s="211"/>
      <c r="L28" s="211"/>
      <c r="M28" s="211"/>
      <c r="N28" s="211"/>
      <c r="O28" s="211"/>
      <c r="P28" s="33"/>
      <c r="Q28" s="51">
        <f t="shared" si="1"/>
        <v>1</v>
      </c>
      <c r="R28" s="78">
        <f t="shared" si="4"/>
        <v>0.5</v>
      </c>
      <c r="S28" s="273">
        <f t="shared" si="2"/>
        <v>1.5</v>
      </c>
      <c r="T28" s="270">
        <v>400000</v>
      </c>
      <c r="U28" s="53">
        <f t="shared" si="3"/>
        <v>600000</v>
      </c>
      <c r="V28" s="371"/>
      <c r="W28" s="364"/>
    </row>
    <row r="29" spans="1:23" s="55" customFormat="1" ht="15.6" customHeight="1" x14ac:dyDescent="0.3">
      <c r="A29" s="294">
        <f t="shared" si="5"/>
        <v>26</v>
      </c>
      <c r="B29" s="159" t="s">
        <v>220</v>
      </c>
      <c r="C29" s="159"/>
      <c r="D29" s="206" t="s">
        <v>4</v>
      </c>
      <c r="E29" s="127"/>
      <c r="F29" s="32" t="s">
        <v>9</v>
      </c>
      <c r="G29" s="32" t="s">
        <v>9</v>
      </c>
      <c r="H29" s="36" t="s">
        <v>9</v>
      </c>
      <c r="I29" s="32" t="s">
        <v>9</v>
      </c>
      <c r="J29" s="32"/>
      <c r="K29" s="211"/>
      <c r="L29" s="211"/>
      <c r="M29" s="211"/>
      <c r="N29" s="211"/>
      <c r="O29" s="211"/>
      <c r="P29" s="33"/>
      <c r="Q29" s="51">
        <f t="shared" si="1"/>
        <v>4</v>
      </c>
      <c r="R29" s="78">
        <f t="shared" si="4"/>
        <v>0</v>
      </c>
      <c r="S29" s="273">
        <f t="shared" si="2"/>
        <v>4</v>
      </c>
      <c r="T29" s="270">
        <v>370000</v>
      </c>
      <c r="U29" s="53">
        <f t="shared" si="3"/>
        <v>1480000</v>
      </c>
      <c r="V29" s="354"/>
      <c r="W29" s="364"/>
    </row>
    <row r="30" spans="1:23" s="55" customFormat="1" x14ac:dyDescent="0.3">
      <c r="A30" s="294">
        <f t="shared" si="5"/>
        <v>27</v>
      </c>
      <c r="B30" s="159" t="s">
        <v>221</v>
      </c>
      <c r="C30" s="159"/>
      <c r="D30" s="206" t="s">
        <v>4</v>
      </c>
      <c r="E30" s="127"/>
      <c r="F30" s="32"/>
      <c r="G30" s="32"/>
      <c r="H30" s="36"/>
      <c r="I30" s="32"/>
      <c r="J30" s="32"/>
      <c r="K30" s="211"/>
      <c r="L30" s="211"/>
      <c r="M30" s="211"/>
      <c r="N30" s="211"/>
      <c r="O30" s="211"/>
      <c r="P30" s="33"/>
      <c r="Q30" s="51">
        <f t="shared" si="1"/>
        <v>0</v>
      </c>
      <c r="R30" s="78">
        <f t="shared" si="4"/>
        <v>0</v>
      </c>
      <c r="S30" s="273">
        <f t="shared" si="2"/>
        <v>0</v>
      </c>
      <c r="T30" s="270">
        <v>380000</v>
      </c>
      <c r="U30" s="53">
        <f t="shared" si="3"/>
        <v>0</v>
      </c>
      <c r="V30" s="372"/>
      <c r="W30" s="361"/>
    </row>
    <row r="31" spans="1:23" s="31" customFormat="1" ht="15.6" customHeight="1" x14ac:dyDescent="0.3">
      <c r="A31" s="61">
        <f t="shared" si="5"/>
        <v>28</v>
      </c>
      <c r="B31" s="48" t="s">
        <v>222</v>
      </c>
      <c r="C31" s="48"/>
      <c r="D31" s="204" t="s">
        <v>4</v>
      </c>
      <c r="E31" s="41"/>
      <c r="F31" s="32" t="s">
        <v>9</v>
      </c>
      <c r="G31" s="32" t="s">
        <v>9</v>
      </c>
      <c r="H31" s="36" t="s">
        <v>9</v>
      </c>
      <c r="I31" s="32" t="s">
        <v>8</v>
      </c>
      <c r="J31" s="32" t="s">
        <v>9</v>
      </c>
      <c r="K31" s="211"/>
      <c r="L31" s="211"/>
      <c r="M31" s="211" t="s">
        <v>9</v>
      </c>
      <c r="N31" s="211" t="s">
        <v>9</v>
      </c>
      <c r="O31" s="211" t="s">
        <v>8</v>
      </c>
      <c r="P31" s="33" t="s">
        <v>9</v>
      </c>
      <c r="Q31" s="51">
        <f t="shared" si="1"/>
        <v>7</v>
      </c>
      <c r="R31" s="78">
        <f t="shared" si="4"/>
        <v>1</v>
      </c>
      <c r="S31" s="273">
        <f t="shared" si="2"/>
        <v>8</v>
      </c>
      <c r="T31" s="270">
        <v>360000</v>
      </c>
      <c r="U31" s="53">
        <f t="shared" si="3"/>
        <v>2880000</v>
      </c>
      <c r="V31" s="371"/>
      <c r="W31" s="359"/>
    </row>
    <row r="32" spans="1:23" s="31" customFormat="1" x14ac:dyDescent="0.3">
      <c r="A32" s="61">
        <f t="shared" si="5"/>
        <v>29</v>
      </c>
      <c r="B32" s="116" t="s">
        <v>223</v>
      </c>
      <c r="C32" s="116"/>
      <c r="D32" s="205" t="s">
        <v>5</v>
      </c>
      <c r="E32" s="41"/>
      <c r="F32" s="32"/>
      <c r="G32" s="32"/>
      <c r="H32" s="36"/>
      <c r="I32" s="32"/>
      <c r="J32" s="32"/>
      <c r="K32" s="211"/>
      <c r="L32" s="211"/>
      <c r="M32" s="211"/>
      <c r="N32" s="211"/>
      <c r="O32" s="211"/>
      <c r="P32" s="33"/>
      <c r="Q32" s="51">
        <f t="shared" si="1"/>
        <v>0</v>
      </c>
      <c r="R32" s="78">
        <f t="shared" si="4"/>
        <v>0</v>
      </c>
      <c r="S32" s="273">
        <f t="shared" si="2"/>
        <v>0</v>
      </c>
      <c r="T32" s="270">
        <v>280000</v>
      </c>
      <c r="U32" s="53">
        <f>S32*T32</f>
        <v>0</v>
      </c>
      <c r="V32" s="371"/>
      <c r="W32" s="359"/>
    </row>
    <row r="33" spans="1:24" s="31" customFormat="1" x14ac:dyDescent="0.3">
      <c r="A33" s="61">
        <f>A32+1</f>
        <v>30</v>
      </c>
      <c r="B33" s="116" t="s">
        <v>224</v>
      </c>
      <c r="C33" s="116"/>
      <c r="D33" s="205" t="s">
        <v>4</v>
      </c>
      <c r="E33" s="127"/>
      <c r="F33" s="32"/>
      <c r="G33" s="32"/>
      <c r="H33" s="36"/>
      <c r="I33" s="32"/>
      <c r="J33" s="32"/>
      <c r="K33" s="211"/>
      <c r="L33" s="211"/>
      <c r="M33" s="211"/>
      <c r="N33" s="211"/>
      <c r="O33" s="211"/>
      <c r="P33" s="33"/>
      <c r="Q33" s="51">
        <f t="shared" si="1"/>
        <v>0</v>
      </c>
      <c r="R33" s="78">
        <f t="shared" si="4"/>
        <v>0</v>
      </c>
      <c r="S33" s="273">
        <f t="shared" si="2"/>
        <v>0</v>
      </c>
      <c r="T33" s="270">
        <v>370000</v>
      </c>
      <c r="U33" s="53">
        <f t="shared" si="3"/>
        <v>0</v>
      </c>
      <c r="V33" s="371"/>
      <c r="W33" s="359"/>
    </row>
    <row r="34" spans="1:24" s="31" customFormat="1" x14ac:dyDescent="0.3">
      <c r="A34" s="61">
        <f t="shared" si="5"/>
        <v>31</v>
      </c>
      <c r="B34" s="116" t="s">
        <v>225</v>
      </c>
      <c r="C34" s="116"/>
      <c r="D34" s="205" t="s">
        <v>5</v>
      </c>
      <c r="E34" s="127"/>
      <c r="F34" s="32"/>
      <c r="G34" s="32"/>
      <c r="H34" s="36"/>
      <c r="I34" s="32"/>
      <c r="J34" s="32"/>
      <c r="K34" s="211"/>
      <c r="L34" s="211"/>
      <c r="M34" s="211"/>
      <c r="N34" s="211"/>
      <c r="O34" s="211"/>
      <c r="P34" s="33"/>
      <c r="Q34" s="51">
        <f t="shared" si="1"/>
        <v>0</v>
      </c>
      <c r="R34" s="78">
        <f t="shared" si="4"/>
        <v>0</v>
      </c>
      <c r="S34" s="273">
        <f t="shared" si="2"/>
        <v>0</v>
      </c>
      <c r="T34" s="270">
        <v>270000</v>
      </c>
      <c r="U34" s="53">
        <f t="shared" si="3"/>
        <v>0</v>
      </c>
      <c r="V34" s="371"/>
      <c r="W34" s="359"/>
    </row>
    <row r="35" spans="1:24" s="31" customFormat="1" x14ac:dyDescent="0.3">
      <c r="A35" s="61">
        <f t="shared" si="5"/>
        <v>32</v>
      </c>
      <c r="B35" s="116" t="s">
        <v>226</v>
      </c>
      <c r="C35" s="116"/>
      <c r="D35" s="205" t="s">
        <v>4</v>
      </c>
      <c r="E35" s="127"/>
      <c r="F35" s="32"/>
      <c r="G35" s="32"/>
      <c r="H35" s="36"/>
      <c r="I35" s="32"/>
      <c r="J35" s="32"/>
      <c r="K35" s="211"/>
      <c r="L35" s="211"/>
      <c r="M35" s="211"/>
      <c r="N35" s="211"/>
      <c r="O35" s="211"/>
      <c r="P35" s="33"/>
      <c r="Q35" s="51">
        <f t="shared" si="1"/>
        <v>0</v>
      </c>
      <c r="R35" s="78">
        <f t="shared" si="4"/>
        <v>0</v>
      </c>
      <c r="S35" s="273">
        <f t="shared" si="2"/>
        <v>0</v>
      </c>
      <c r="T35" s="270">
        <v>360000</v>
      </c>
      <c r="U35" s="53">
        <f t="shared" si="3"/>
        <v>0</v>
      </c>
      <c r="V35" s="371"/>
      <c r="W35" s="359"/>
    </row>
    <row r="36" spans="1:24" s="55" customFormat="1" ht="15.6" customHeight="1" x14ac:dyDescent="0.3">
      <c r="A36" s="294">
        <f t="shared" si="5"/>
        <v>33</v>
      </c>
      <c r="B36" s="159" t="s">
        <v>229</v>
      </c>
      <c r="C36" s="159"/>
      <c r="D36" s="206" t="s">
        <v>5</v>
      </c>
      <c r="E36" s="127"/>
      <c r="F36" s="32" t="s">
        <v>9</v>
      </c>
      <c r="G36" s="32" t="s">
        <v>9</v>
      </c>
      <c r="H36" s="36" t="s">
        <v>9</v>
      </c>
      <c r="I36" s="32"/>
      <c r="J36" s="32" t="s">
        <v>9</v>
      </c>
      <c r="K36" s="211"/>
      <c r="L36" s="211"/>
      <c r="M36" s="211"/>
      <c r="N36" s="211"/>
      <c r="O36" s="211"/>
      <c r="P36" s="33"/>
      <c r="Q36" s="51">
        <f t="shared" si="1"/>
        <v>4</v>
      </c>
      <c r="R36" s="78">
        <f t="shared" si="4"/>
        <v>0</v>
      </c>
      <c r="S36" s="273">
        <f t="shared" si="2"/>
        <v>4</v>
      </c>
      <c r="T36" s="270">
        <v>280000</v>
      </c>
      <c r="U36" s="53">
        <f>S36*T36</f>
        <v>1120000</v>
      </c>
      <c r="V36" s="371"/>
      <c r="W36" s="362"/>
      <c r="X36" s="295"/>
    </row>
    <row r="37" spans="1:24" s="55" customFormat="1" x14ac:dyDescent="0.3">
      <c r="A37" s="61">
        <f t="shared" si="5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211"/>
      <c r="O37" s="211"/>
      <c r="P37" s="33"/>
      <c r="Q37" s="51">
        <f t="shared" si="1"/>
        <v>0</v>
      </c>
      <c r="R37" s="78">
        <f t="shared" si="4"/>
        <v>0</v>
      </c>
      <c r="S37" s="273">
        <f t="shared" si="2"/>
        <v>0</v>
      </c>
      <c r="T37" s="270">
        <v>260000</v>
      </c>
      <c r="U37" s="53">
        <f t="shared" si="3"/>
        <v>0</v>
      </c>
      <c r="V37" s="371"/>
      <c r="W37" s="362"/>
    </row>
    <row r="38" spans="1:24" s="31" customFormat="1" ht="15.6" customHeight="1" x14ac:dyDescent="0.3">
      <c r="A38" s="61">
        <f t="shared" si="5"/>
        <v>35</v>
      </c>
      <c r="B38" s="116" t="s">
        <v>231</v>
      </c>
      <c r="C38" s="116"/>
      <c r="D38" s="205" t="s">
        <v>4</v>
      </c>
      <c r="E38" s="127"/>
      <c r="F38" s="32" t="s">
        <v>9</v>
      </c>
      <c r="G38" s="32" t="s">
        <v>9</v>
      </c>
      <c r="H38" s="36" t="s">
        <v>9</v>
      </c>
      <c r="I38" s="32"/>
      <c r="J38" s="32" t="s">
        <v>9</v>
      </c>
      <c r="K38" s="211"/>
      <c r="L38" s="211"/>
      <c r="M38" s="211"/>
      <c r="N38" s="211"/>
      <c r="O38" s="211"/>
      <c r="P38" s="33"/>
      <c r="Q38" s="51">
        <f t="shared" si="1"/>
        <v>4</v>
      </c>
      <c r="R38" s="78">
        <f t="shared" si="4"/>
        <v>0</v>
      </c>
      <c r="S38" s="273">
        <f t="shared" si="2"/>
        <v>4</v>
      </c>
      <c r="T38" s="270">
        <v>360000</v>
      </c>
      <c r="U38" s="53">
        <f t="shared" si="3"/>
        <v>1440000</v>
      </c>
      <c r="V38" s="371"/>
      <c r="W38" s="359"/>
    </row>
    <row r="39" spans="1:24" s="31" customFormat="1" x14ac:dyDescent="0.3">
      <c r="A39" s="61">
        <f t="shared" si="5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211"/>
      <c r="O39" s="211"/>
      <c r="P39" s="33"/>
      <c r="Q39" s="51">
        <f t="shared" si="1"/>
        <v>0</v>
      </c>
      <c r="R39" s="78">
        <f t="shared" si="4"/>
        <v>0</v>
      </c>
      <c r="S39" s="273">
        <f t="shared" si="2"/>
        <v>0</v>
      </c>
      <c r="T39" s="270">
        <v>360000</v>
      </c>
      <c r="U39" s="53">
        <f t="shared" si="3"/>
        <v>0</v>
      </c>
      <c r="V39" s="371"/>
      <c r="W39" s="359"/>
    </row>
    <row r="40" spans="1:24" s="31" customFormat="1" ht="15.6" customHeight="1" x14ac:dyDescent="0.3">
      <c r="A40" s="61">
        <f t="shared" si="5"/>
        <v>37</v>
      </c>
      <c r="B40" s="116" t="s">
        <v>233</v>
      </c>
      <c r="C40" s="116"/>
      <c r="D40" s="205" t="s">
        <v>5</v>
      </c>
      <c r="E40" s="127"/>
      <c r="F40" s="32"/>
      <c r="G40" s="32" t="s">
        <v>9</v>
      </c>
      <c r="H40" s="36" t="s">
        <v>9</v>
      </c>
      <c r="I40" s="32" t="s">
        <v>9</v>
      </c>
      <c r="J40" s="32" t="s">
        <v>9</v>
      </c>
      <c r="K40" s="211"/>
      <c r="L40" s="211"/>
      <c r="M40" s="211"/>
      <c r="N40" s="211"/>
      <c r="O40" s="211"/>
      <c r="P40" s="33"/>
      <c r="Q40" s="51">
        <f t="shared" si="1"/>
        <v>4</v>
      </c>
      <c r="R40" s="78">
        <f t="shared" si="4"/>
        <v>0</v>
      </c>
      <c r="S40" s="273">
        <f t="shared" si="2"/>
        <v>4</v>
      </c>
      <c r="T40" s="270">
        <v>260000</v>
      </c>
      <c r="U40" s="53">
        <f t="shared" si="3"/>
        <v>1040000</v>
      </c>
      <c r="V40" s="371"/>
      <c r="W40" s="359"/>
    </row>
    <row r="41" spans="1:24" s="31" customFormat="1" x14ac:dyDescent="0.3">
      <c r="A41" s="61">
        <f t="shared" si="5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211"/>
      <c r="O41" s="211"/>
      <c r="P41" s="33"/>
      <c r="Q41" s="51">
        <f t="shared" si="1"/>
        <v>0</v>
      </c>
      <c r="R41" s="78">
        <f t="shared" si="4"/>
        <v>0</v>
      </c>
      <c r="S41" s="273">
        <f t="shared" si="2"/>
        <v>0</v>
      </c>
      <c r="T41" s="270">
        <v>370000</v>
      </c>
      <c r="U41" s="53">
        <f t="shared" si="3"/>
        <v>0</v>
      </c>
      <c r="V41" s="371"/>
      <c r="W41" s="359"/>
    </row>
    <row r="42" spans="1:24" s="31" customFormat="1" x14ac:dyDescent="0.3">
      <c r="A42" s="61">
        <f t="shared" si="5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211"/>
      <c r="O42" s="211"/>
      <c r="P42" s="33"/>
      <c r="Q42" s="51">
        <f t="shared" si="1"/>
        <v>0</v>
      </c>
      <c r="R42" s="78">
        <f t="shared" si="4"/>
        <v>0</v>
      </c>
      <c r="S42" s="273">
        <f t="shared" si="2"/>
        <v>0</v>
      </c>
      <c r="T42" s="270">
        <v>270000</v>
      </c>
      <c r="U42" s="53">
        <f t="shared" si="3"/>
        <v>0</v>
      </c>
      <c r="V42" s="371"/>
      <c r="W42" s="359"/>
    </row>
    <row r="43" spans="1:24" s="55" customFormat="1" ht="15.6" customHeight="1" x14ac:dyDescent="0.3">
      <c r="A43" s="294">
        <f t="shared" si="5"/>
        <v>40</v>
      </c>
      <c r="B43" s="159" t="s">
        <v>235</v>
      </c>
      <c r="C43" s="159"/>
      <c r="D43" s="206" t="s">
        <v>4</v>
      </c>
      <c r="E43" s="127"/>
      <c r="F43" s="32"/>
      <c r="G43" s="32"/>
      <c r="H43" s="36" t="s">
        <v>9</v>
      </c>
      <c r="I43" s="32" t="s">
        <v>8</v>
      </c>
      <c r="J43" s="32" t="s">
        <v>9</v>
      </c>
      <c r="K43" s="211" t="s">
        <v>9</v>
      </c>
      <c r="L43" s="211"/>
      <c r="M43" s="211" t="s">
        <v>9</v>
      </c>
      <c r="N43" s="211" t="s">
        <v>9</v>
      </c>
      <c r="O43" s="211" t="s">
        <v>8</v>
      </c>
      <c r="P43" s="33" t="s">
        <v>9</v>
      </c>
      <c r="Q43" s="51">
        <f t="shared" si="1"/>
        <v>6</v>
      </c>
      <c r="R43" s="78">
        <f t="shared" si="4"/>
        <v>1</v>
      </c>
      <c r="S43" s="273">
        <f t="shared" si="2"/>
        <v>7</v>
      </c>
      <c r="T43" s="270">
        <v>370000</v>
      </c>
      <c r="U43" s="53">
        <f>S43*T43</f>
        <v>2590000</v>
      </c>
      <c r="V43" s="371"/>
      <c r="W43" s="362"/>
      <c r="X43" s="295"/>
    </row>
    <row r="44" spans="1:24" s="31" customFormat="1" ht="15.6" customHeight="1" x14ac:dyDescent="0.3">
      <c r="A44" s="61">
        <f t="shared" si="5"/>
        <v>41</v>
      </c>
      <c r="B44" s="116" t="s">
        <v>237</v>
      </c>
      <c r="C44" s="116"/>
      <c r="D44" s="205" t="s">
        <v>5</v>
      </c>
      <c r="E44" s="127"/>
      <c r="F44" s="32"/>
      <c r="G44" s="32"/>
      <c r="H44" s="36" t="s">
        <v>9</v>
      </c>
      <c r="I44" s="32" t="s">
        <v>8</v>
      </c>
      <c r="J44" s="32" t="s">
        <v>9</v>
      </c>
      <c r="K44" s="211" t="s">
        <v>9</v>
      </c>
      <c r="L44" s="211"/>
      <c r="M44" s="211" t="s">
        <v>9</v>
      </c>
      <c r="N44" s="211" t="s">
        <v>9</v>
      </c>
      <c r="O44" s="211" t="s">
        <v>8</v>
      </c>
      <c r="P44" s="33" t="s">
        <v>9</v>
      </c>
      <c r="Q44" s="51">
        <f t="shared" si="1"/>
        <v>6</v>
      </c>
      <c r="R44" s="78">
        <f t="shared" si="4"/>
        <v>1</v>
      </c>
      <c r="S44" s="273">
        <f t="shared" si="2"/>
        <v>7</v>
      </c>
      <c r="T44" s="270">
        <v>270000</v>
      </c>
      <c r="U44" s="53">
        <f t="shared" si="3"/>
        <v>1890000</v>
      </c>
      <c r="V44" s="371"/>
      <c r="W44" s="359"/>
    </row>
    <row r="45" spans="1:24" s="31" customFormat="1" x14ac:dyDescent="0.3">
      <c r="A45" s="61">
        <f t="shared" si="5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211"/>
      <c r="O45" s="211"/>
      <c r="P45" s="33"/>
      <c r="Q45" s="51">
        <f t="shared" si="1"/>
        <v>0</v>
      </c>
      <c r="R45" s="78">
        <f t="shared" si="4"/>
        <v>0</v>
      </c>
      <c r="S45" s="273">
        <f t="shared" si="2"/>
        <v>0</v>
      </c>
      <c r="T45" s="270">
        <v>270000</v>
      </c>
      <c r="U45" s="53">
        <f t="shared" si="3"/>
        <v>0</v>
      </c>
      <c r="V45" s="371"/>
      <c r="W45" s="359"/>
    </row>
    <row r="46" spans="1:24" s="31" customFormat="1" x14ac:dyDescent="0.3">
      <c r="A46" s="61">
        <f t="shared" si="5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10"/>
      <c r="O46" s="210"/>
      <c r="P46" s="25"/>
      <c r="Q46" s="51">
        <f t="shared" si="1"/>
        <v>0</v>
      </c>
      <c r="R46" s="78">
        <f t="shared" si="4"/>
        <v>0</v>
      </c>
      <c r="S46" s="273">
        <f t="shared" si="2"/>
        <v>0</v>
      </c>
      <c r="T46" s="270">
        <v>270000</v>
      </c>
      <c r="U46" s="53">
        <f t="shared" si="3"/>
        <v>0</v>
      </c>
      <c r="V46" s="371"/>
      <c r="W46" s="359"/>
    </row>
    <row r="47" spans="1:24" s="55" customFormat="1" ht="15.6" customHeight="1" x14ac:dyDescent="0.3">
      <c r="A47" s="294">
        <f t="shared" si="5"/>
        <v>44</v>
      </c>
      <c r="B47" s="159" t="s">
        <v>240</v>
      </c>
      <c r="C47" s="159"/>
      <c r="D47" s="206" t="s">
        <v>4</v>
      </c>
      <c r="E47" s="127"/>
      <c r="F47" s="32" t="s">
        <v>9</v>
      </c>
      <c r="G47" s="32" t="s">
        <v>9</v>
      </c>
      <c r="H47" s="36" t="s">
        <v>9</v>
      </c>
      <c r="I47" s="32" t="s">
        <v>9</v>
      </c>
      <c r="J47" s="32" t="s">
        <v>9</v>
      </c>
      <c r="K47" s="211"/>
      <c r="L47" s="211"/>
      <c r="M47" s="211"/>
      <c r="N47" s="211"/>
      <c r="O47" s="211"/>
      <c r="P47" s="33"/>
      <c r="Q47" s="51">
        <f t="shared" si="1"/>
        <v>5</v>
      </c>
      <c r="R47" s="78">
        <f t="shared" si="4"/>
        <v>0</v>
      </c>
      <c r="S47" s="273">
        <f t="shared" si="2"/>
        <v>5</v>
      </c>
      <c r="T47" s="270">
        <v>370000</v>
      </c>
      <c r="U47" s="53">
        <f>S47*T47</f>
        <v>1850000</v>
      </c>
      <c r="V47" s="371"/>
      <c r="W47" s="362"/>
      <c r="X47" s="295"/>
    </row>
    <row r="48" spans="1:24" s="31" customFormat="1" ht="15.6" customHeight="1" x14ac:dyDescent="0.3">
      <c r="A48" s="61">
        <f t="shared" si="5"/>
        <v>45</v>
      </c>
      <c r="B48" s="116" t="s">
        <v>241</v>
      </c>
      <c r="C48" s="116"/>
      <c r="D48" s="205" t="s">
        <v>4</v>
      </c>
      <c r="E48" s="127"/>
      <c r="F48" s="32" t="s">
        <v>9</v>
      </c>
      <c r="G48" s="32" t="s">
        <v>9</v>
      </c>
      <c r="H48" s="36" t="s">
        <v>9</v>
      </c>
      <c r="I48" s="32" t="s">
        <v>9</v>
      </c>
      <c r="J48" s="32" t="s">
        <v>9</v>
      </c>
      <c r="K48" s="211"/>
      <c r="L48" s="211"/>
      <c r="M48" s="211"/>
      <c r="N48" s="211"/>
      <c r="O48" s="211"/>
      <c r="P48" s="33"/>
      <c r="Q48" s="51">
        <f t="shared" si="1"/>
        <v>5</v>
      </c>
      <c r="R48" s="78">
        <f t="shared" si="4"/>
        <v>0</v>
      </c>
      <c r="S48" s="273">
        <f t="shared" si="2"/>
        <v>5</v>
      </c>
      <c r="T48" s="270">
        <v>360000</v>
      </c>
      <c r="U48" s="53">
        <f t="shared" si="3"/>
        <v>1800000</v>
      </c>
      <c r="V48" s="371"/>
      <c r="W48" s="359"/>
    </row>
    <row r="49" spans="1:24" s="31" customFormat="1" ht="15.6" customHeight="1" x14ac:dyDescent="0.3">
      <c r="A49" s="61">
        <f t="shared" si="5"/>
        <v>46</v>
      </c>
      <c r="B49" s="116" t="s">
        <v>242</v>
      </c>
      <c r="C49" s="116"/>
      <c r="D49" s="205" t="s">
        <v>5</v>
      </c>
      <c r="E49" s="127"/>
      <c r="F49" s="32" t="s">
        <v>9</v>
      </c>
      <c r="G49" s="32" t="s">
        <v>9</v>
      </c>
      <c r="H49" s="36" t="s">
        <v>9</v>
      </c>
      <c r="I49" s="32" t="s">
        <v>8</v>
      </c>
      <c r="J49" s="32" t="s">
        <v>8</v>
      </c>
      <c r="K49" s="211"/>
      <c r="L49" s="211"/>
      <c r="M49" s="211"/>
      <c r="N49" s="211"/>
      <c r="O49" s="211" t="s">
        <v>8</v>
      </c>
      <c r="P49" s="33" t="s">
        <v>9</v>
      </c>
      <c r="Q49" s="51">
        <f t="shared" si="1"/>
        <v>4</v>
      </c>
      <c r="R49" s="78">
        <f t="shared" si="4"/>
        <v>1.5</v>
      </c>
      <c r="S49" s="273">
        <f t="shared" si="2"/>
        <v>5.5</v>
      </c>
      <c r="T49" s="270">
        <v>270000</v>
      </c>
      <c r="U49" s="53">
        <f t="shared" si="3"/>
        <v>1485000</v>
      </c>
      <c r="V49" s="371"/>
      <c r="W49" s="359"/>
    </row>
    <row r="50" spans="1:24" s="31" customFormat="1" x14ac:dyDescent="0.3">
      <c r="A50" s="61">
        <f t="shared" si="5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211"/>
      <c r="O50" s="211"/>
      <c r="P50" s="33"/>
      <c r="Q50" s="51">
        <f t="shared" si="1"/>
        <v>0</v>
      </c>
      <c r="R50" s="78">
        <f t="shared" si="4"/>
        <v>0</v>
      </c>
      <c r="S50" s="273">
        <f t="shared" si="2"/>
        <v>0</v>
      </c>
      <c r="T50" s="270">
        <v>270000</v>
      </c>
      <c r="U50" s="53">
        <f t="shared" si="3"/>
        <v>0</v>
      </c>
      <c r="V50" s="371"/>
      <c r="W50" s="359"/>
    </row>
    <row r="51" spans="1:24" s="31" customFormat="1" x14ac:dyDescent="0.3">
      <c r="A51" s="61">
        <f t="shared" si="5"/>
        <v>48</v>
      </c>
      <c r="B51" s="116" t="s">
        <v>287</v>
      </c>
      <c r="C51" s="116"/>
      <c r="D51" s="205" t="s">
        <v>4</v>
      </c>
      <c r="E51" s="127"/>
      <c r="F51" s="32"/>
      <c r="G51" s="32"/>
      <c r="H51" s="36"/>
      <c r="I51" s="32"/>
      <c r="J51" s="32"/>
      <c r="K51" s="211"/>
      <c r="L51" s="211"/>
      <c r="M51" s="211"/>
      <c r="N51" s="211"/>
      <c r="O51" s="211"/>
      <c r="P51" s="33"/>
      <c r="Q51" s="51">
        <f t="shared" si="1"/>
        <v>0</v>
      </c>
      <c r="R51" s="78">
        <f t="shared" si="4"/>
        <v>0</v>
      </c>
      <c r="S51" s="273">
        <f t="shared" si="2"/>
        <v>0</v>
      </c>
      <c r="T51" s="270">
        <v>360000</v>
      </c>
      <c r="U51" s="53">
        <f t="shared" si="3"/>
        <v>0</v>
      </c>
      <c r="V51" s="371"/>
      <c r="W51" s="359"/>
    </row>
    <row r="52" spans="1:24" s="31" customFormat="1" x14ac:dyDescent="0.3">
      <c r="A52" s="61">
        <f t="shared" si="5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211"/>
      <c r="O52" s="211"/>
      <c r="P52" s="33"/>
      <c r="Q52" s="51">
        <f t="shared" si="1"/>
        <v>0</v>
      </c>
      <c r="R52" s="78">
        <f t="shared" si="4"/>
        <v>0</v>
      </c>
      <c r="S52" s="273">
        <f t="shared" si="2"/>
        <v>0</v>
      </c>
      <c r="T52" s="270">
        <v>360000</v>
      </c>
      <c r="U52" s="53">
        <f t="shared" si="3"/>
        <v>0</v>
      </c>
      <c r="V52" s="371"/>
      <c r="W52" s="359"/>
    </row>
    <row r="53" spans="1:24" s="31" customFormat="1" x14ac:dyDescent="0.3">
      <c r="A53" s="61">
        <f t="shared" si="5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211"/>
      <c r="O53" s="211"/>
      <c r="P53" s="33"/>
      <c r="Q53" s="51">
        <f t="shared" si="1"/>
        <v>0</v>
      </c>
      <c r="R53" s="78">
        <f t="shared" si="4"/>
        <v>0</v>
      </c>
      <c r="S53" s="273">
        <f t="shared" si="2"/>
        <v>0</v>
      </c>
      <c r="T53" s="270">
        <v>270000</v>
      </c>
      <c r="U53" s="53">
        <f t="shared" si="3"/>
        <v>0</v>
      </c>
      <c r="V53" s="371"/>
      <c r="W53" s="359"/>
    </row>
    <row r="54" spans="1:24" s="55" customFormat="1" ht="15.6" customHeight="1" x14ac:dyDescent="0.3">
      <c r="A54" s="294">
        <f t="shared" si="5"/>
        <v>51</v>
      </c>
      <c r="B54" s="159" t="s">
        <v>288</v>
      </c>
      <c r="C54" s="159"/>
      <c r="D54" s="206" t="s">
        <v>5</v>
      </c>
      <c r="E54" s="127"/>
      <c r="F54" s="32" t="s">
        <v>9</v>
      </c>
      <c r="G54" s="32" t="s">
        <v>8</v>
      </c>
      <c r="H54" s="36"/>
      <c r="I54" s="32"/>
      <c r="J54" s="32"/>
      <c r="K54" s="211"/>
      <c r="L54" s="211"/>
      <c r="M54" s="211"/>
      <c r="N54" s="211"/>
      <c r="O54" s="211"/>
      <c r="P54" s="33"/>
      <c r="Q54" s="51">
        <f t="shared" si="1"/>
        <v>1</v>
      </c>
      <c r="R54" s="78">
        <f t="shared" si="4"/>
        <v>0.5</v>
      </c>
      <c r="S54" s="273">
        <f t="shared" si="2"/>
        <v>1.5</v>
      </c>
      <c r="T54" s="270">
        <v>270000</v>
      </c>
      <c r="U54" s="53">
        <f t="shared" si="3"/>
        <v>405000</v>
      </c>
      <c r="V54" s="371"/>
      <c r="W54" s="362"/>
    </row>
    <row r="55" spans="1:24" s="31" customFormat="1" x14ac:dyDescent="0.3">
      <c r="A55" s="61">
        <f t="shared" si="5"/>
        <v>52</v>
      </c>
      <c r="B55" s="116" t="s">
        <v>291</v>
      </c>
      <c r="C55" s="116"/>
      <c r="D55" s="205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211"/>
      <c r="O55" s="211"/>
      <c r="P55" s="33"/>
      <c r="Q55" s="51">
        <f t="shared" si="1"/>
        <v>0</v>
      </c>
      <c r="R55" s="78">
        <f t="shared" si="4"/>
        <v>0</v>
      </c>
      <c r="S55" s="273">
        <f t="shared" si="2"/>
        <v>0</v>
      </c>
      <c r="T55" s="270">
        <v>270000</v>
      </c>
      <c r="U55" s="53">
        <f>S55*T55</f>
        <v>0</v>
      </c>
      <c r="V55" s="371"/>
      <c r="W55" s="359"/>
    </row>
    <row r="56" spans="1:24" s="55" customFormat="1" ht="15.6" customHeight="1" x14ac:dyDescent="0.3">
      <c r="A56" s="294">
        <f t="shared" si="5"/>
        <v>53</v>
      </c>
      <c r="B56" s="159" t="s">
        <v>295</v>
      </c>
      <c r="C56" s="159"/>
      <c r="D56" s="206" t="s">
        <v>5</v>
      </c>
      <c r="E56" s="127"/>
      <c r="F56" s="32" t="s">
        <v>9</v>
      </c>
      <c r="G56" s="32" t="s">
        <v>9</v>
      </c>
      <c r="H56" s="36" t="s">
        <v>9</v>
      </c>
      <c r="I56" s="32"/>
      <c r="J56" s="32"/>
      <c r="K56" s="211"/>
      <c r="L56" s="211"/>
      <c r="M56" s="211"/>
      <c r="N56" s="211"/>
      <c r="O56" s="211"/>
      <c r="P56" s="33"/>
      <c r="Q56" s="51">
        <f t="shared" si="1"/>
        <v>3</v>
      </c>
      <c r="R56" s="78">
        <f t="shared" si="4"/>
        <v>0</v>
      </c>
      <c r="S56" s="273">
        <f t="shared" si="2"/>
        <v>3</v>
      </c>
      <c r="T56" s="270">
        <v>280000</v>
      </c>
      <c r="U56" s="53">
        <f>S56*T56</f>
        <v>840000</v>
      </c>
      <c r="V56" s="371"/>
      <c r="W56" s="362"/>
      <c r="X56" s="295"/>
    </row>
    <row r="57" spans="1:24" s="31" customFormat="1" x14ac:dyDescent="0.3">
      <c r="A57" s="61">
        <f t="shared" si="5"/>
        <v>54</v>
      </c>
      <c r="B57" s="116" t="s">
        <v>296</v>
      </c>
      <c r="C57" s="116"/>
      <c r="D57" s="205" t="s">
        <v>5</v>
      </c>
      <c r="E57" s="127"/>
      <c r="F57" s="32"/>
      <c r="G57" s="32"/>
      <c r="H57" s="36"/>
      <c r="I57" s="32"/>
      <c r="J57" s="32"/>
      <c r="K57" s="211"/>
      <c r="L57" s="211"/>
      <c r="M57" s="211"/>
      <c r="N57" s="211"/>
      <c r="O57" s="211"/>
      <c r="P57" s="33"/>
      <c r="Q57" s="51">
        <f t="shared" si="1"/>
        <v>0</v>
      </c>
      <c r="R57" s="78">
        <f t="shared" si="4"/>
        <v>0</v>
      </c>
      <c r="S57" s="273">
        <f t="shared" si="2"/>
        <v>0</v>
      </c>
      <c r="T57" s="270">
        <v>270000</v>
      </c>
      <c r="U57" s="53">
        <f t="shared" si="3"/>
        <v>0</v>
      </c>
      <c r="V57" s="371"/>
      <c r="W57" s="359"/>
    </row>
    <row r="58" spans="1:24" s="31" customFormat="1" x14ac:dyDescent="0.3">
      <c r="A58" s="61">
        <f t="shared" si="5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211"/>
      <c r="O58" s="211"/>
      <c r="P58" s="33"/>
      <c r="Q58" s="51">
        <f t="shared" si="1"/>
        <v>0</v>
      </c>
      <c r="R58" s="78">
        <f t="shared" si="4"/>
        <v>0</v>
      </c>
      <c r="S58" s="273">
        <f t="shared" si="2"/>
        <v>0</v>
      </c>
      <c r="T58" s="270">
        <v>360000</v>
      </c>
      <c r="U58" s="53">
        <f t="shared" si="3"/>
        <v>0</v>
      </c>
      <c r="V58" s="371"/>
      <c r="W58" s="359"/>
    </row>
    <row r="59" spans="1:24" s="31" customFormat="1" x14ac:dyDescent="0.3">
      <c r="A59" s="61">
        <f t="shared" si="5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211"/>
      <c r="O59" s="211"/>
      <c r="P59" s="33"/>
      <c r="Q59" s="51">
        <f t="shared" si="1"/>
        <v>0</v>
      </c>
      <c r="R59" s="78">
        <f t="shared" si="4"/>
        <v>0</v>
      </c>
      <c r="S59" s="273">
        <f t="shared" si="2"/>
        <v>0</v>
      </c>
      <c r="T59" s="270">
        <v>270000</v>
      </c>
      <c r="U59" s="53">
        <f t="shared" si="3"/>
        <v>0</v>
      </c>
      <c r="V59" s="371"/>
      <c r="W59" s="359"/>
    </row>
    <row r="60" spans="1:24" s="31" customFormat="1" x14ac:dyDescent="0.3">
      <c r="A60" s="61">
        <f t="shared" si="5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211"/>
      <c r="O60" s="211"/>
      <c r="P60" s="33"/>
      <c r="Q60" s="51">
        <f t="shared" si="1"/>
        <v>0</v>
      </c>
      <c r="R60" s="78">
        <f t="shared" si="4"/>
        <v>0</v>
      </c>
      <c r="S60" s="273">
        <f t="shared" si="2"/>
        <v>0</v>
      </c>
      <c r="T60" s="270">
        <v>260000</v>
      </c>
      <c r="U60" s="53">
        <f t="shared" si="3"/>
        <v>0</v>
      </c>
      <c r="V60" s="371"/>
      <c r="W60" s="359"/>
    </row>
    <row r="61" spans="1:24" s="31" customFormat="1" x14ac:dyDescent="0.3">
      <c r="A61" s="61">
        <f t="shared" si="5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211"/>
      <c r="O61" s="211"/>
      <c r="P61" s="33"/>
      <c r="Q61" s="162">
        <f t="shared" si="1"/>
        <v>0</v>
      </c>
      <c r="R61" s="163">
        <f t="shared" si="4"/>
        <v>0</v>
      </c>
      <c r="S61" s="273">
        <f t="shared" si="2"/>
        <v>0</v>
      </c>
      <c r="T61" s="270">
        <v>360000</v>
      </c>
      <c r="U61" s="53">
        <f t="shared" si="3"/>
        <v>0</v>
      </c>
      <c r="V61" s="371"/>
      <c r="W61" s="359"/>
    </row>
    <row r="62" spans="1:24" s="31" customFormat="1" x14ac:dyDescent="0.3">
      <c r="A62" s="61">
        <f t="shared" si="5"/>
        <v>59</v>
      </c>
      <c r="B62" s="116" t="s">
        <v>362</v>
      </c>
      <c r="C62" s="116"/>
      <c r="D62" s="205" t="s">
        <v>5</v>
      </c>
      <c r="E62" s="127"/>
      <c r="F62" s="32"/>
      <c r="G62" s="32"/>
      <c r="H62" s="36"/>
      <c r="I62" s="32"/>
      <c r="J62" s="32"/>
      <c r="K62" s="211"/>
      <c r="L62" s="211"/>
      <c r="M62" s="211"/>
      <c r="N62" s="211"/>
      <c r="O62" s="211"/>
      <c r="P62" s="33"/>
      <c r="Q62" s="162">
        <f t="shared" si="1"/>
        <v>0</v>
      </c>
      <c r="R62" s="163">
        <f t="shared" si="4"/>
        <v>0</v>
      </c>
      <c r="S62" s="273">
        <f t="shared" si="2"/>
        <v>0</v>
      </c>
      <c r="T62" s="270">
        <v>260000</v>
      </c>
      <c r="U62" s="53">
        <f t="shared" si="3"/>
        <v>0</v>
      </c>
      <c r="V62" s="371"/>
      <c r="W62" s="359"/>
    </row>
    <row r="63" spans="1:24" s="31" customFormat="1" x14ac:dyDescent="0.3">
      <c r="A63" s="61">
        <f t="shared" si="5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211"/>
      <c r="O63" s="211"/>
      <c r="P63" s="33"/>
      <c r="Q63" s="162">
        <f t="shared" si="1"/>
        <v>0</v>
      </c>
      <c r="R63" s="163">
        <f t="shared" si="4"/>
        <v>0</v>
      </c>
      <c r="S63" s="273">
        <f t="shared" si="2"/>
        <v>0</v>
      </c>
      <c r="T63" s="270">
        <v>260000</v>
      </c>
      <c r="U63" s="53">
        <f t="shared" si="3"/>
        <v>0</v>
      </c>
      <c r="V63" s="371"/>
      <c r="W63" s="359"/>
    </row>
    <row r="64" spans="1:24" s="31" customFormat="1" ht="15.6" customHeight="1" x14ac:dyDescent="0.3">
      <c r="A64" s="61">
        <f t="shared" si="5"/>
        <v>61</v>
      </c>
      <c r="B64" s="116" t="s">
        <v>364</v>
      </c>
      <c r="C64" s="116"/>
      <c r="D64" s="205" t="s">
        <v>4</v>
      </c>
      <c r="E64" s="127"/>
      <c r="F64" s="32" t="s">
        <v>9</v>
      </c>
      <c r="G64" s="32" t="s">
        <v>9</v>
      </c>
      <c r="H64" s="36" t="s">
        <v>9</v>
      </c>
      <c r="I64" s="32" t="s">
        <v>9</v>
      </c>
      <c r="J64" s="32" t="s">
        <v>9</v>
      </c>
      <c r="K64" s="211"/>
      <c r="L64" s="211"/>
      <c r="M64" s="211"/>
      <c r="N64" s="211"/>
      <c r="O64" s="211"/>
      <c r="P64" s="33"/>
      <c r="Q64" s="162">
        <f t="shared" si="1"/>
        <v>5</v>
      </c>
      <c r="R64" s="163">
        <f t="shared" si="4"/>
        <v>0</v>
      </c>
      <c r="S64" s="273">
        <f t="shared" si="2"/>
        <v>5</v>
      </c>
      <c r="T64" s="270">
        <v>370000</v>
      </c>
      <c r="U64" s="53">
        <f t="shared" si="3"/>
        <v>1850000</v>
      </c>
      <c r="V64" s="371"/>
      <c r="W64" s="359"/>
    </row>
    <row r="65" spans="1:23" s="31" customFormat="1" x14ac:dyDescent="0.3">
      <c r="A65" s="61">
        <f t="shared" si="5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211"/>
      <c r="O65" s="211"/>
      <c r="P65" s="33"/>
      <c r="Q65" s="162">
        <f t="shared" si="1"/>
        <v>0</v>
      </c>
      <c r="R65" s="163">
        <f t="shared" si="4"/>
        <v>0</v>
      </c>
      <c r="S65" s="273">
        <f t="shared" si="2"/>
        <v>0</v>
      </c>
      <c r="T65" s="270">
        <v>260000</v>
      </c>
      <c r="U65" s="53">
        <f t="shared" si="3"/>
        <v>0</v>
      </c>
      <c r="V65" s="371"/>
      <c r="W65" s="359"/>
    </row>
    <row r="66" spans="1:23" s="31" customFormat="1" ht="15.6" customHeight="1" x14ac:dyDescent="0.3">
      <c r="A66" s="61">
        <f t="shared" si="5"/>
        <v>63</v>
      </c>
      <c r="B66" s="116" t="s">
        <v>366</v>
      </c>
      <c r="C66" s="116"/>
      <c r="D66" s="205" t="s">
        <v>4</v>
      </c>
      <c r="E66" s="127"/>
      <c r="F66" s="32" t="s">
        <v>9</v>
      </c>
      <c r="G66" s="32" t="s">
        <v>9</v>
      </c>
      <c r="H66" s="36" t="s">
        <v>9</v>
      </c>
      <c r="I66" s="32" t="s">
        <v>9</v>
      </c>
      <c r="J66" s="32" t="s">
        <v>9</v>
      </c>
      <c r="K66" s="211"/>
      <c r="L66" s="211"/>
      <c r="M66" s="211"/>
      <c r="N66" s="211"/>
      <c r="O66" s="211"/>
      <c r="P66" s="33"/>
      <c r="Q66" s="162">
        <f t="shared" si="1"/>
        <v>5</v>
      </c>
      <c r="R66" s="163">
        <f t="shared" si="4"/>
        <v>0</v>
      </c>
      <c r="S66" s="273">
        <f t="shared" si="2"/>
        <v>5</v>
      </c>
      <c r="T66" s="270">
        <v>360000</v>
      </c>
      <c r="U66" s="53">
        <f t="shared" si="3"/>
        <v>1800000</v>
      </c>
      <c r="V66" s="371"/>
      <c r="W66" s="359"/>
    </row>
    <row r="67" spans="1:23" s="31" customFormat="1" x14ac:dyDescent="0.3">
      <c r="A67" s="61">
        <f t="shared" si="5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211"/>
      <c r="O67" s="211"/>
      <c r="P67" s="33"/>
      <c r="Q67" s="162">
        <f t="shared" si="1"/>
        <v>0</v>
      </c>
      <c r="R67" s="163">
        <f t="shared" si="4"/>
        <v>0</v>
      </c>
      <c r="S67" s="273">
        <f t="shared" si="2"/>
        <v>0</v>
      </c>
      <c r="T67" s="270">
        <v>260000</v>
      </c>
      <c r="U67" s="53">
        <f t="shared" si="3"/>
        <v>0</v>
      </c>
      <c r="V67" s="371"/>
      <c r="W67" s="359"/>
    </row>
    <row r="68" spans="1:23" s="31" customFormat="1" x14ac:dyDescent="0.3">
      <c r="A68" s="61">
        <f t="shared" si="5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211"/>
      <c r="O68" s="211"/>
      <c r="P68" s="33"/>
      <c r="Q68" s="162">
        <f t="shared" ref="Q68:Q83" si="6">COUNTIF(E68:P68,"X")</f>
        <v>0</v>
      </c>
      <c r="R68" s="163">
        <f t="shared" si="4"/>
        <v>0</v>
      </c>
      <c r="S68" s="273">
        <f t="shared" ref="S68:S83" si="7">SUM(Q68:R68)</f>
        <v>0</v>
      </c>
      <c r="T68" s="270">
        <v>260000</v>
      </c>
      <c r="U68" s="53">
        <f t="shared" ref="U68:U83" si="8">S68*T68</f>
        <v>0</v>
      </c>
      <c r="V68" s="371"/>
      <c r="W68" s="359"/>
    </row>
    <row r="69" spans="1:23" s="31" customFormat="1" x14ac:dyDescent="0.3">
      <c r="A69" s="61">
        <f t="shared" si="5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211"/>
      <c r="O69" s="211"/>
      <c r="P69" s="33"/>
      <c r="Q69" s="162">
        <f t="shared" si="6"/>
        <v>0</v>
      </c>
      <c r="R69" s="163">
        <f t="shared" ref="R69:R83" si="9">COUNTIF(E69:P69,"X/2")/2</f>
        <v>0</v>
      </c>
      <c r="S69" s="273">
        <f t="shared" si="7"/>
        <v>0</v>
      </c>
      <c r="T69" s="270">
        <v>270000</v>
      </c>
      <c r="U69" s="53">
        <f t="shared" si="8"/>
        <v>0</v>
      </c>
      <c r="V69" s="371"/>
      <c r="W69" s="359"/>
    </row>
    <row r="70" spans="1:23" s="31" customFormat="1" ht="15.6" customHeight="1" x14ac:dyDescent="0.3">
      <c r="A70" s="61">
        <f t="shared" si="5"/>
        <v>67</v>
      </c>
      <c r="B70" s="116" t="s">
        <v>371</v>
      </c>
      <c r="C70" s="116"/>
      <c r="D70" s="205" t="s">
        <v>4</v>
      </c>
      <c r="E70" s="127"/>
      <c r="F70" s="32"/>
      <c r="G70" s="32" t="s">
        <v>9</v>
      </c>
      <c r="H70" s="36" t="s">
        <v>9</v>
      </c>
      <c r="I70" s="32" t="s">
        <v>9</v>
      </c>
      <c r="J70" s="32" t="s">
        <v>9</v>
      </c>
      <c r="K70" s="211"/>
      <c r="L70" s="211"/>
      <c r="M70" s="211"/>
      <c r="N70" s="211"/>
      <c r="O70" s="211"/>
      <c r="P70" s="33"/>
      <c r="Q70" s="162">
        <f t="shared" si="6"/>
        <v>4</v>
      </c>
      <c r="R70" s="163">
        <f t="shared" si="9"/>
        <v>0</v>
      </c>
      <c r="S70" s="273">
        <f t="shared" si="7"/>
        <v>4</v>
      </c>
      <c r="T70" s="270">
        <v>360000</v>
      </c>
      <c r="U70" s="53">
        <f t="shared" si="8"/>
        <v>1440000</v>
      </c>
      <c r="V70" s="371"/>
      <c r="W70" s="359"/>
    </row>
    <row r="71" spans="1:23" s="31" customFormat="1" x14ac:dyDescent="0.3">
      <c r="A71" s="61">
        <f t="shared" ref="A71:A83" si="10">A70+1</f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/>
      <c r="L71" s="211"/>
      <c r="M71" s="211"/>
      <c r="N71" s="211"/>
      <c r="O71" s="211"/>
      <c r="P71" s="33"/>
      <c r="Q71" s="162">
        <f t="shared" si="6"/>
        <v>0</v>
      </c>
      <c r="R71" s="163">
        <f t="shared" si="9"/>
        <v>0</v>
      </c>
      <c r="S71" s="273">
        <f t="shared" si="7"/>
        <v>0</v>
      </c>
      <c r="T71" s="270">
        <v>360000</v>
      </c>
      <c r="U71" s="53">
        <f t="shared" si="8"/>
        <v>0</v>
      </c>
      <c r="V71" s="371"/>
      <c r="W71" s="359"/>
    </row>
    <row r="72" spans="1:23" s="31" customFormat="1" x14ac:dyDescent="0.3">
      <c r="A72" s="61">
        <f t="shared" si="10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211"/>
      <c r="O72" s="211"/>
      <c r="P72" s="33"/>
      <c r="Q72" s="162">
        <f t="shared" si="6"/>
        <v>0</v>
      </c>
      <c r="R72" s="163">
        <f t="shared" si="9"/>
        <v>0</v>
      </c>
      <c r="S72" s="273">
        <f t="shared" si="7"/>
        <v>0</v>
      </c>
      <c r="T72" s="270">
        <v>260000</v>
      </c>
      <c r="U72" s="53">
        <f t="shared" si="8"/>
        <v>0</v>
      </c>
      <c r="V72" s="371"/>
      <c r="W72" s="359"/>
    </row>
    <row r="73" spans="1:23" s="31" customFormat="1" x14ac:dyDescent="0.3">
      <c r="A73" s="61">
        <f t="shared" si="10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211"/>
      <c r="O73" s="211"/>
      <c r="P73" s="33"/>
      <c r="Q73" s="162">
        <f t="shared" si="6"/>
        <v>0</v>
      </c>
      <c r="R73" s="163">
        <f t="shared" si="9"/>
        <v>0</v>
      </c>
      <c r="S73" s="273">
        <f t="shared" si="7"/>
        <v>0</v>
      </c>
      <c r="T73" s="270">
        <v>360000</v>
      </c>
      <c r="U73" s="53">
        <f t="shared" si="8"/>
        <v>0</v>
      </c>
      <c r="V73" s="371"/>
      <c r="W73" s="359"/>
    </row>
    <row r="74" spans="1:23" s="31" customFormat="1" x14ac:dyDescent="0.3">
      <c r="A74" s="61">
        <f t="shared" si="10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211"/>
      <c r="O74" s="211"/>
      <c r="P74" s="33"/>
      <c r="Q74" s="162">
        <f t="shared" si="6"/>
        <v>0</v>
      </c>
      <c r="R74" s="163">
        <f t="shared" si="9"/>
        <v>0</v>
      </c>
      <c r="S74" s="273">
        <f t="shared" si="7"/>
        <v>0</v>
      </c>
      <c r="T74" s="270">
        <v>260000</v>
      </c>
      <c r="U74" s="53">
        <f t="shared" si="8"/>
        <v>0</v>
      </c>
      <c r="V74" s="371"/>
      <c r="W74" s="359"/>
    </row>
    <row r="75" spans="1:23" s="31" customFormat="1" x14ac:dyDescent="0.3">
      <c r="A75" s="61">
        <f t="shared" si="10"/>
        <v>72</v>
      </c>
      <c r="B75" s="159" t="s">
        <v>376</v>
      </c>
      <c r="C75" s="159"/>
      <c r="D75" s="206" t="s">
        <v>5</v>
      </c>
      <c r="E75" s="127"/>
      <c r="F75" s="32"/>
      <c r="G75" s="32"/>
      <c r="H75" s="36"/>
      <c r="I75" s="227"/>
      <c r="J75" s="227"/>
      <c r="K75" s="229"/>
      <c r="L75" s="229"/>
      <c r="M75" s="229"/>
      <c r="N75" s="229"/>
      <c r="O75" s="229"/>
      <c r="P75" s="323"/>
      <c r="Q75" s="162">
        <f t="shared" si="6"/>
        <v>0</v>
      </c>
      <c r="R75" s="163">
        <f t="shared" si="9"/>
        <v>0</v>
      </c>
      <c r="S75" s="273">
        <f t="shared" si="7"/>
        <v>0</v>
      </c>
      <c r="T75" s="270">
        <v>260000</v>
      </c>
      <c r="U75" s="53">
        <f t="shared" si="8"/>
        <v>0</v>
      </c>
      <c r="V75" s="354"/>
      <c r="W75" s="364"/>
    </row>
    <row r="76" spans="1:23" s="55" customFormat="1" x14ac:dyDescent="0.3">
      <c r="A76" s="61">
        <f t="shared" si="10"/>
        <v>73</v>
      </c>
      <c r="B76" s="29" t="s">
        <v>387</v>
      </c>
      <c r="C76" s="29"/>
      <c r="D76" s="210" t="s">
        <v>5</v>
      </c>
      <c r="E76" s="233"/>
      <c r="F76" s="21"/>
      <c r="G76" s="21"/>
      <c r="H76" s="21"/>
      <c r="I76" s="21"/>
      <c r="J76" s="21"/>
      <c r="K76" s="21"/>
      <c r="L76" s="21"/>
      <c r="M76" s="21"/>
      <c r="N76" s="210"/>
      <c r="O76" s="210"/>
      <c r="P76" s="25"/>
      <c r="Q76" s="51">
        <f>COUNTIF(E76:P76,"X")</f>
        <v>0</v>
      </c>
      <c r="R76" s="78">
        <f>COUNTIF(E76:P76,"X/2")/2</f>
        <v>0</v>
      </c>
      <c r="S76" s="273">
        <f>SUM(Q76:R76)</f>
        <v>0</v>
      </c>
      <c r="T76" s="269">
        <v>270000</v>
      </c>
      <c r="U76" s="52">
        <f>S76*T76</f>
        <v>0</v>
      </c>
      <c r="V76" s="372"/>
      <c r="W76" s="365"/>
    </row>
    <row r="77" spans="1:23" s="55" customFormat="1" x14ac:dyDescent="0.3">
      <c r="A77" s="294">
        <f>A76+1</f>
        <v>74</v>
      </c>
      <c r="B77" s="29" t="s">
        <v>394</v>
      </c>
      <c r="C77" s="29"/>
      <c r="D77" s="210" t="s">
        <v>4</v>
      </c>
      <c r="E77" s="233"/>
      <c r="F77" s="21"/>
      <c r="G77" s="21"/>
      <c r="H77" s="21"/>
      <c r="I77" s="21"/>
      <c r="J77" s="21"/>
      <c r="K77" s="21"/>
      <c r="L77" s="21"/>
      <c r="M77" s="21"/>
      <c r="N77" s="210"/>
      <c r="O77" s="210"/>
      <c r="P77" s="25"/>
      <c r="Q77" s="162">
        <f t="shared" si="6"/>
        <v>0</v>
      </c>
      <c r="R77" s="163">
        <f t="shared" si="9"/>
        <v>0</v>
      </c>
      <c r="S77" s="273">
        <f t="shared" si="7"/>
        <v>0</v>
      </c>
      <c r="T77" s="269">
        <v>400000</v>
      </c>
      <c r="U77" s="53">
        <f t="shared" si="8"/>
        <v>0</v>
      </c>
      <c r="V77" s="371"/>
      <c r="W77" s="364"/>
    </row>
    <row r="78" spans="1:23" s="55" customFormat="1" ht="15.6" customHeight="1" x14ac:dyDescent="0.3">
      <c r="A78" s="61">
        <f t="shared" si="10"/>
        <v>75</v>
      </c>
      <c r="B78" s="29" t="s">
        <v>388</v>
      </c>
      <c r="C78" s="29"/>
      <c r="D78" s="210" t="s">
        <v>5</v>
      </c>
      <c r="E78" s="233"/>
      <c r="F78" s="21" t="s">
        <v>9</v>
      </c>
      <c r="G78" s="21" t="s">
        <v>9</v>
      </c>
      <c r="H78" s="21" t="s">
        <v>9</v>
      </c>
      <c r="I78" s="21"/>
      <c r="J78" s="21" t="s">
        <v>9</v>
      </c>
      <c r="K78" s="21"/>
      <c r="L78" s="21"/>
      <c r="M78" s="21"/>
      <c r="N78" s="210"/>
      <c r="O78" s="210"/>
      <c r="P78" s="25"/>
      <c r="Q78" s="162">
        <f t="shared" si="6"/>
        <v>4</v>
      </c>
      <c r="R78" s="163">
        <f t="shared" si="9"/>
        <v>0</v>
      </c>
      <c r="S78" s="273">
        <f t="shared" si="7"/>
        <v>4</v>
      </c>
      <c r="T78" s="269">
        <v>270000</v>
      </c>
      <c r="U78" s="53">
        <f t="shared" si="8"/>
        <v>1080000</v>
      </c>
      <c r="V78" s="371"/>
      <c r="W78" s="364"/>
    </row>
    <row r="79" spans="1:23" s="55" customFormat="1" ht="15.6" customHeight="1" x14ac:dyDescent="0.3">
      <c r="A79" s="61">
        <f t="shared" si="10"/>
        <v>76</v>
      </c>
      <c r="B79" s="29" t="s">
        <v>389</v>
      </c>
      <c r="C79" s="29"/>
      <c r="D79" s="210" t="s">
        <v>4</v>
      </c>
      <c r="E79" s="233"/>
      <c r="F79" s="21"/>
      <c r="G79" s="21" t="s">
        <v>9</v>
      </c>
      <c r="H79" s="21" t="s">
        <v>9</v>
      </c>
      <c r="I79" s="21" t="s">
        <v>8</v>
      </c>
      <c r="J79" s="21" t="s">
        <v>8</v>
      </c>
      <c r="K79" s="21" t="s">
        <v>9</v>
      </c>
      <c r="L79" s="21"/>
      <c r="M79" s="21" t="s">
        <v>9</v>
      </c>
      <c r="N79" s="210" t="s">
        <v>8</v>
      </c>
      <c r="O79" s="210" t="s">
        <v>8</v>
      </c>
      <c r="P79" s="25"/>
      <c r="Q79" s="162">
        <f t="shared" si="6"/>
        <v>4</v>
      </c>
      <c r="R79" s="163">
        <f t="shared" si="9"/>
        <v>2</v>
      </c>
      <c r="S79" s="273">
        <f t="shared" si="7"/>
        <v>6</v>
      </c>
      <c r="T79" s="269">
        <v>320000</v>
      </c>
      <c r="U79" s="53">
        <f t="shared" si="8"/>
        <v>1920000</v>
      </c>
      <c r="V79" s="371"/>
      <c r="W79" s="364"/>
    </row>
    <row r="80" spans="1:23" s="55" customFormat="1" ht="15.6" customHeight="1" x14ac:dyDescent="0.3">
      <c r="A80" s="61">
        <f t="shared" si="10"/>
        <v>77</v>
      </c>
      <c r="B80" s="29" t="s">
        <v>390</v>
      </c>
      <c r="C80" s="29"/>
      <c r="D80" s="210" t="s">
        <v>5</v>
      </c>
      <c r="E80" s="233"/>
      <c r="F80" s="21" t="s">
        <v>9</v>
      </c>
      <c r="G80" s="21" t="s">
        <v>9</v>
      </c>
      <c r="H80" s="21" t="s">
        <v>9</v>
      </c>
      <c r="I80" s="21" t="s">
        <v>9</v>
      </c>
      <c r="J80" s="21" t="s">
        <v>9</v>
      </c>
      <c r="K80" s="21"/>
      <c r="L80" s="21"/>
      <c r="M80" s="21"/>
      <c r="N80" s="210"/>
      <c r="O80" s="210"/>
      <c r="P80" s="25"/>
      <c r="Q80" s="162">
        <f t="shared" si="6"/>
        <v>5</v>
      </c>
      <c r="R80" s="163">
        <f t="shared" si="9"/>
        <v>0</v>
      </c>
      <c r="S80" s="273">
        <f t="shared" si="7"/>
        <v>5</v>
      </c>
      <c r="T80" s="269">
        <v>270000</v>
      </c>
      <c r="U80" s="53">
        <f t="shared" si="8"/>
        <v>1350000</v>
      </c>
      <c r="V80" s="371"/>
      <c r="W80" s="364"/>
    </row>
    <row r="81" spans="1:24" s="55" customFormat="1" ht="15.6" customHeight="1" x14ac:dyDescent="0.3">
      <c r="A81" s="61">
        <f t="shared" si="10"/>
        <v>78</v>
      </c>
      <c r="B81" s="29" t="s">
        <v>391</v>
      </c>
      <c r="C81" s="29"/>
      <c r="D81" s="210" t="s">
        <v>4</v>
      </c>
      <c r="E81" s="233"/>
      <c r="F81" s="21" t="s">
        <v>9</v>
      </c>
      <c r="G81" s="21" t="s">
        <v>9</v>
      </c>
      <c r="H81" s="21" t="s">
        <v>9</v>
      </c>
      <c r="I81" s="21" t="s">
        <v>9</v>
      </c>
      <c r="J81" s="21" t="s">
        <v>9</v>
      </c>
      <c r="K81" s="21" t="s">
        <v>9</v>
      </c>
      <c r="L81" s="21"/>
      <c r="M81" s="21"/>
      <c r="N81" s="210" t="s">
        <v>9</v>
      </c>
      <c r="O81" s="210"/>
      <c r="P81" s="25" t="s">
        <v>9</v>
      </c>
      <c r="Q81" s="162">
        <f t="shared" si="6"/>
        <v>8</v>
      </c>
      <c r="R81" s="163">
        <f t="shared" si="9"/>
        <v>0</v>
      </c>
      <c r="S81" s="273">
        <f t="shared" si="7"/>
        <v>8</v>
      </c>
      <c r="T81" s="269">
        <v>370000</v>
      </c>
      <c r="U81" s="53">
        <f t="shared" si="8"/>
        <v>2960000</v>
      </c>
      <c r="V81" s="371"/>
      <c r="W81" s="364"/>
    </row>
    <row r="82" spans="1:24" s="55" customFormat="1" ht="15.6" customHeight="1" x14ac:dyDescent="0.3">
      <c r="A82" s="61">
        <f t="shared" si="10"/>
        <v>79</v>
      </c>
      <c r="B82" s="29" t="s">
        <v>392</v>
      </c>
      <c r="C82" s="353"/>
      <c r="D82" s="203" t="s">
        <v>5</v>
      </c>
      <c r="E82" s="41"/>
      <c r="F82" s="21" t="s">
        <v>9</v>
      </c>
      <c r="G82" s="21" t="s">
        <v>9</v>
      </c>
      <c r="H82" s="35" t="s">
        <v>9</v>
      </c>
      <c r="I82" s="21" t="s">
        <v>9</v>
      </c>
      <c r="J82" s="21" t="s">
        <v>9</v>
      </c>
      <c r="K82" s="210" t="s">
        <v>9</v>
      </c>
      <c r="L82" s="210"/>
      <c r="M82" s="210"/>
      <c r="N82" s="210" t="s">
        <v>9</v>
      </c>
      <c r="O82" s="210"/>
      <c r="P82" s="25" t="s">
        <v>9</v>
      </c>
      <c r="Q82" s="51">
        <f t="shared" si="6"/>
        <v>8</v>
      </c>
      <c r="R82" s="78">
        <f t="shared" si="9"/>
        <v>0</v>
      </c>
      <c r="S82" s="273">
        <f t="shared" si="7"/>
        <v>8</v>
      </c>
      <c r="T82" s="269">
        <v>270000</v>
      </c>
      <c r="U82" s="52">
        <f t="shared" si="8"/>
        <v>2160000</v>
      </c>
      <c r="V82" s="373"/>
      <c r="W82" s="364"/>
    </row>
    <row r="83" spans="1:24" s="55" customFormat="1" ht="15.6" customHeight="1" thickBot="1" x14ac:dyDescent="0.35">
      <c r="A83" s="61">
        <f t="shared" si="10"/>
        <v>80</v>
      </c>
      <c r="B83" s="344" t="s">
        <v>397</v>
      </c>
      <c r="C83" s="345"/>
      <c r="D83" s="348" t="s">
        <v>5</v>
      </c>
      <c r="E83" s="346"/>
      <c r="F83" s="348" t="s">
        <v>9</v>
      </c>
      <c r="G83" s="349" t="s">
        <v>9</v>
      </c>
      <c r="H83" s="348" t="s">
        <v>9</v>
      </c>
      <c r="I83" s="349" t="s">
        <v>8</v>
      </c>
      <c r="J83" s="349" t="s">
        <v>9</v>
      </c>
      <c r="K83" s="350"/>
      <c r="L83" s="350"/>
      <c r="M83" s="350" t="s">
        <v>9</v>
      </c>
      <c r="N83" s="350"/>
      <c r="O83" s="350"/>
      <c r="P83" s="351" t="s">
        <v>9</v>
      </c>
      <c r="Q83" s="51">
        <f t="shared" si="6"/>
        <v>6</v>
      </c>
      <c r="R83" s="78">
        <f t="shared" si="9"/>
        <v>0.5</v>
      </c>
      <c r="S83" s="273">
        <f t="shared" si="7"/>
        <v>6.5</v>
      </c>
      <c r="T83" s="268">
        <v>270000</v>
      </c>
      <c r="U83" s="52">
        <f t="shared" si="8"/>
        <v>1755000</v>
      </c>
      <c r="V83" s="374"/>
      <c r="W83" s="366"/>
    </row>
    <row r="84" spans="1:24" s="55" customFormat="1" ht="16.2" hidden="1" thickBot="1" x14ac:dyDescent="0.35">
      <c r="A84" s="324"/>
      <c r="B84" s="306"/>
      <c r="C84" s="307"/>
      <c r="D84" s="308"/>
      <c r="E84" s="309"/>
      <c r="F84" s="310"/>
      <c r="G84" s="311"/>
      <c r="H84" s="310"/>
      <c r="I84" s="311"/>
      <c r="J84" s="311"/>
      <c r="K84" s="312"/>
      <c r="L84" s="312"/>
      <c r="M84" s="312"/>
      <c r="N84" s="312"/>
      <c r="O84" s="312"/>
      <c r="P84" s="325"/>
      <c r="Q84" s="319"/>
      <c r="R84" s="315"/>
      <c r="S84" s="326"/>
      <c r="T84" s="313"/>
      <c r="U84" s="316"/>
      <c r="V84" s="372"/>
      <c r="W84" s="365"/>
    </row>
    <row r="85" spans="1:24" s="31" customFormat="1" ht="15.6" customHeight="1" thickBot="1" x14ac:dyDescent="0.35">
      <c r="A85" s="327"/>
      <c r="B85" s="328"/>
      <c r="C85" s="329"/>
      <c r="D85" s="401"/>
      <c r="E85" s="332">
        <f>SUBTOTAL(103,E4:E75)</f>
        <v>0</v>
      </c>
      <c r="F85" s="332">
        <f>SUBTOTAL(103,F4:F82)</f>
        <v>27</v>
      </c>
      <c r="G85" s="332">
        <f t="shared" ref="G85:P85" si="11">SUBTOTAL(103,G4:G82)</f>
        <v>32</v>
      </c>
      <c r="H85" s="332">
        <f t="shared" si="11"/>
        <v>31</v>
      </c>
      <c r="I85" s="332">
        <f t="shared" si="11"/>
        <v>27</v>
      </c>
      <c r="J85" s="332">
        <f t="shared" si="11"/>
        <v>29</v>
      </c>
      <c r="K85" s="332">
        <f t="shared" si="11"/>
        <v>14</v>
      </c>
      <c r="L85" s="332">
        <f t="shared" si="11"/>
        <v>0</v>
      </c>
      <c r="M85" s="332">
        <f t="shared" si="11"/>
        <v>6</v>
      </c>
      <c r="N85" s="332"/>
      <c r="O85" s="332"/>
      <c r="P85" s="332">
        <f t="shared" si="11"/>
        <v>9</v>
      </c>
      <c r="Q85" s="332">
        <f>SUBTOTAL(103,Q4:Q75)</f>
        <v>72</v>
      </c>
      <c r="R85" s="335">
        <f>SUBTOTAL(103,R4:R27)</f>
        <v>24</v>
      </c>
      <c r="S85" s="336">
        <f>SUBTOTAL(103,S4:S27)</f>
        <v>24</v>
      </c>
      <c r="T85" s="332">
        <f>SUBTOTAL(103,T4:T84)</f>
        <v>80</v>
      </c>
      <c r="U85" s="337">
        <f>SUBTOTAL(109,U4:U83)</f>
        <v>64530000</v>
      </c>
      <c r="V85" s="375"/>
      <c r="W85" s="338">
        <f>SUBTOTAL(109,W4:W84)</f>
        <v>1500000</v>
      </c>
      <c r="X85" s="208"/>
    </row>
    <row r="86" spans="1:24" x14ac:dyDescent="0.3">
      <c r="U86" s="76"/>
      <c r="V86" s="76"/>
      <c r="W86" s="368">
        <f>U85-W85</f>
        <v>63030000</v>
      </c>
    </row>
    <row r="87" spans="1:24" x14ac:dyDescent="0.3">
      <c r="U87" s="76"/>
      <c r="V87" s="76"/>
      <c r="W87" s="76"/>
    </row>
    <row r="88" spans="1:24" x14ac:dyDescent="0.3">
      <c r="U88" s="76"/>
      <c r="V88" s="76"/>
    </row>
  </sheetData>
  <autoFilter ref="A3:X83"/>
  <mergeCells count="11">
    <mergeCell ref="S2:S3"/>
    <mergeCell ref="T2:T3"/>
    <mergeCell ref="U2:U3"/>
    <mergeCell ref="V2:V3"/>
    <mergeCell ref="W2:W3"/>
    <mergeCell ref="R2:R3"/>
    <mergeCell ref="A2:A3"/>
    <mergeCell ref="B2:B3"/>
    <mergeCell ref="C2:C3"/>
    <mergeCell ref="D2:D3"/>
    <mergeCell ref="Q2:Q3"/>
  </mergeCells>
  <conditionalFormatting sqref="E85:P85">
    <cfRule type="expression" dxfId="4" priority="1">
      <formula>IF(E$3="cn",1,0)</formula>
    </cfRule>
  </conditionalFormatting>
  <pageMargins left="1.07" right="0.2" top="0.2" bottom="0.2" header="0.2" footer="0.2"/>
  <pageSetup paperSize="9" scale="85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V88"/>
  <sheetViews>
    <sheetView workbookViewId="0">
      <selection sqref="A1:XFD1048576"/>
    </sheetView>
  </sheetViews>
  <sheetFormatPr defaultRowHeight="15.6" x14ac:dyDescent="0.3"/>
  <cols>
    <col min="1" max="1" width="5.44140625" style="62" customWidth="1"/>
    <col min="2" max="2" width="19.5546875" style="1" customWidth="1"/>
    <col min="3" max="3" width="27.21875" style="1" customWidth="1"/>
    <col min="4" max="4" width="9.77734375" style="3" customWidth="1"/>
    <col min="5" max="5" width="5" style="129" customWidth="1"/>
    <col min="6" max="7" width="5.6640625" style="129" customWidth="1"/>
    <col min="8" max="14" width="5.6640625" style="176" customWidth="1"/>
    <col min="15" max="15" width="6.21875" style="176" customWidth="1"/>
    <col min="16" max="16" width="6.6640625" style="176" customWidth="1"/>
    <col min="17" max="17" width="7.33203125" style="176" customWidth="1"/>
    <col min="18" max="18" width="13.6640625" style="1" customWidth="1"/>
    <col min="19" max="19" width="13.77734375" style="1" customWidth="1"/>
    <col min="20" max="20" width="13.109375" style="1" customWidth="1"/>
    <col min="21" max="21" width="12.5546875" style="1" customWidth="1"/>
    <col min="22" max="22" width="22" style="1" customWidth="1"/>
    <col min="23" max="16384" width="8.88671875" style="1"/>
  </cols>
  <sheetData>
    <row r="1" spans="1:22" ht="23.4" customHeight="1" thickBot="1" x14ac:dyDescent="0.35">
      <c r="A1" s="154" t="s">
        <v>414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73"/>
      <c r="R1" s="173"/>
      <c r="S1" s="173"/>
      <c r="T1" s="173"/>
      <c r="U1" s="173"/>
    </row>
    <row r="2" spans="1:22" s="3" customFormat="1" ht="12.6" customHeight="1" x14ac:dyDescent="0.3">
      <c r="A2" s="414" t="s">
        <v>0</v>
      </c>
      <c r="B2" s="416" t="s">
        <v>1</v>
      </c>
      <c r="C2" s="416" t="s">
        <v>79</v>
      </c>
      <c r="D2" s="418" t="s">
        <v>358</v>
      </c>
      <c r="E2" s="34">
        <v>1</v>
      </c>
      <c r="F2" s="23">
        <v>2</v>
      </c>
      <c r="G2" s="23">
        <f t="shared" ref="G2:N2" si="0">F2+1</f>
        <v>3</v>
      </c>
      <c r="H2" s="23">
        <f t="shared" si="0"/>
        <v>4</v>
      </c>
      <c r="I2" s="23">
        <f t="shared" si="0"/>
        <v>5</v>
      </c>
      <c r="J2" s="23">
        <f t="shared" si="0"/>
        <v>6</v>
      </c>
      <c r="K2" s="23">
        <f t="shared" si="0"/>
        <v>7</v>
      </c>
      <c r="L2" s="23">
        <f t="shared" si="0"/>
        <v>8</v>
      </c>
      <c r="M2" s="23">
        <f t="shared" si="0"/>
        <v>9</v>
      </c>
      <c r="N2" s="23">
        <f t="shared" si="0"/>
        <v>10</v>
      </c>
      <c r="O2" s="420" t="s">
        <v>6</v>
      </c>
      <c r="P2" s="434" t="s">
        <v>7</v>
      </c>
      <c r="Q2" s="436" t="s">
        <v>357</v>
      </c>
      <c r="R2" s="438" t="s">
        <v>30</v>
      </c>
      <c r="S2" s="428" t="s">
        <v>33</v>
      </c>
      <c r="T2" s="442" t="s">
        <v>396</v>
      </c>
      <c r="U2" s="430" t="s">
        <v>127</v>
      </c>
    </row>
    <row r="3" spans="1:22" s="3" customFormat="1" ht="12.6" customHeight="1" thickBot="1" x14ac:dyDescent="0.35">
      <c r="A3" s="415"/>
      <c r="B3" s="417"/>
      <c r="C3" s="417"/>
      <c r="D3" s="419"/>
      <c r="E3" s="378" t="s">
        <v>94</v>
      </c>
      <c r="F3" s="402" t="s">
        <v>95</v>
      </c>
      <c r="G3" s="402" t="s">
        <v>97</v>
      </c>
      <c r="H3" s="402" t="s">
        <v>96</v>
      </c>
      <c r="I3" s="402" t="s">
        <v>98</v>
      </c>
      <c r="J3" s="402" t="s">
        <v>99</v>
      </c>
      <c r="K3" s="213" t="s">
        <v>93</v>
      </c>
      <c r="L3" s="213" t="s">
        <v>94</v>
      </c>
      <c r="M3" s="377" t="s">
        <v>95</v>
      </c>
      <c r="N3" s="377" t="s">
        <v>97</v>
      </c>
      <c r="O3" s="421"/>
      <c r="P3" s="435"/>
      <c r="Q3" s="437"/>
      <c r="R3" s="439"/>
      <c r="S3" s="440"/>
      <c r="T3" s="443"/>
      <c r="U3" s="441"/>
    </row>
    <row r="4" spans="1:22" s="3" customFormat="1" ht="15.6" customHeight="1" x14ac:dyDescent="0.3">
      <c r="A4" s="130">
        <v>1</v>
      </c>
      <c r="B4" s="131" t="s">
        <v>2</v>
      </c>
      <c r="C4" s="132">
        <f>SUBTOTAL(103,C5:C22)</f>
        <v>15</v>
      </c>
      <c r="D4" s="133" t="s">
        <v>128</v>
      </c>
      <c r="E4" s="403" t="s">
        <v>9</v>
      </c>
      <c r="F4" s="264" t="s">
        <v>9</v>
      </c>
      <c r="G4" s="264" t="s">
        <v>9</v>
      </c>
      <c r="H4" s="265" t="s">
        <v>9</v>
      </c>
      <c r="I4" s="264" t="s">
        <v>9</v>
      </c>
      <c r="J4" s="264" t="s">
        <v>9</v>
      </c>
      <c r="K4" s="266" t="s">
        <v>9</v>
      </c>
      <c r="L4" s="266" t="s">
        <v>9</v>
      </c>
      <c r="M4" s="266" t="s">
        <v>9</v>
      </c>
      <c r="N4" s="135" t="s">
        <v>9</v>
      </c>
      <c r="O4" s="122">
        <f t="shared" ref="O4:O35" si="1">COUNTIF(E4:N4,"X")</f>
        <v>10</v>
      </c>
      <c r="P4" s="123">
        <f>COUNTIF(E4:I4,"X/2")/2</f>
        <v>0</v>
      </c>
      <c r="Q4" s="272">
        <f t="shared" ref="Q4:Q67" si="2">SUM(O4:P4)</f>
        <v>10</v>
      </c>
      <c r="R4" s="268">
        <v>550000</v>
      </c>
      <c r="S4" s="376">
        <f t="shared" ref="S4:S67" si="3">Q4*R4</f>
        <v>5500000</v>
      </c>
      <c r="T4" s="369"/>
      <c r="U4" s="367"/>
      <c r="V4" s="31"/>
    </row>
    <row r="5" spans="1:22" s="31" customFormat="1" ht="15.6" customHeight="1" x14ac:dyDescent="0.3">
      <c r="A5" s="61">
        <v>2</v>
      </c>
      <c r="B5" s="28" t="s">
        <v>36</v>
      </c>
      <c r="C5" s="48" t="s">
        <v>60</v>
      </c>
      <c r="D5" s="90" t="s">
        <v>4</v>
      </c>
      <c r="E5" s="203"/>
      <c r="F5" s="21"/>
      <c r="G5" s="21"/>
      <c r="H5" s="35"/>
      <c r="I5" s="21"/>
      <c r="J5" s="21"/>
      <c r="K5" s="210"/>
      <c r="L5" s="210"/>
      <c r="M5" s="210"/>
      <c r="N5" s="21"/>
      <c r="O5" s="51">
        <f t="shared" si="1"/>
        <v>0</v>
      </c>
      <c r="P5" s="78">
        <f t="shared" ref="P5:P36" si="4">COUNTIF(E5:N5,"X/2")/2</f>
        <v>0</v>
      </c>
      <c r="Q5" s="273">
        <f t="shared" si="2"/>
        <v>0</v>
      </c>
      <c r="R5" s="269">
        <v>380000</v>
      </c>
      <c r="S5" s="52">
        <f t="shared" si="3"/>
        <v>0</v>
      </c>
      <c r="T5" s="370"/>
      <c r="U5" s="355"/>
    </row>
    <row r="6" spans="1:22" s="31" customFormat="1" x14ac:dyDescent="0.3">
      <c r="A6" s="61">
        <v>3</v>
      </c>
      <c r="B6" s="28" t="s">
        <v>35</v>
      </c>
      <c r="C6" s="48" t="s">
        <v>80</v>
      </c>
      <c r="D6" s="90" t="s">
        <v>4</v>
      </c>
      <c r="E6" s="203"/>
      <c r="F6" s="21"/>
      <c r="G6" s="21"/>
      <c r="H6" s="35"/>
      <c r="I6" s="21"/>
      <c r="J6" s="21"/>
      <c r="K6" s="210"/>
      <c r="L6" s="210"/>
      <c r="M6" s="210"/>
      <c r="N6" s="21"/>
      <c r="O6" s="51">
        <f t="shared" si="1"/>
        <v>0</v>
      </c>
      <c r="P6" s="78">
        <f t="shared" si="4"/>
        <v>0</v>
      </c>
      <c r="Q6" s="273">
        <f t="shared" si="2"/>
        <v>0</v>
      </c>
      <c r="R6" s="269">
        <v>370000</v>
      </c>
      <c r="S6" s="52">
        <f t="shared" si="3"/>
        <v>0</v>
      </c>
      <c r="T6" s="370"/>
      <c r="U6" s="355"/>
    </row>
    <row r="7" spans="1:22" s="31" customFormat="1" ht="15.6" customHeight="1" x14ac:dyDescent="0.3">
      <c r="A7" s="61">
        <f t="shared" ref="A7:A70" si="5">A6+1</f>
        <v>4</v>
      </c>
      <c r="B7" s="28" t="s">
        <v>37</v>
      </c>
      <c r="C7" s="48" t="s">
        <v>60</v>
      </c>
      <c r="D7" s="90" t="s">
        <v>4</v>
      </c>
      <c r="E7" s="203"/>
      <c r="F7" s="21"/>
      <c r="G7" s="21"/>
      <c r="H7" s="35"/>
      <c r="I7" s="21"/>
      <c r="J7" s="21"/>
      <c r="K7" s="210"/>
      <c r="L7" s="210"/>
      <c r="M7" s="210"/>
      <c r="N7" s="21"/>
      <c r="O7" s="51">
        <f t="shared" si="1"/>
        <v>0</v>
      </c>
      <c r="P7" s="78">
        <f t="shared" si="4"/>
        <v>0</v>
      </c>
      <c r="Q7" s="273">
        <f t="shared" si="2"/>
        <v>0</v>
      </c>
      <c r="R7" s="269">
        <v>370000</v>
      </c>
      <c r="S7" s="52">
        <f t="shared" si="3"/>
        <v>0</v>
      </c>
      <c r="T7" s="369"/>
      <c r="U7" s="356"/>
    </row>
    <row r="8" spans="1:22" s="31" customFormat="1" ht="15.6" customHeight="1" x14ac:dyDescent="0.3">
      <c r="A8" s="61">
        <f t="shared" si="5"/>
        <v>5</v>
      </c>
      <c r="B8" s="28" t="s">
        <v>38</v>
      </c>
      <c r="C8" s="48" t="s">
        <v>80</v>
      </c>
      <c r="D8" s="90" t="s">
        <v>17</v>
      </c>
      <c r="E8" s="203" t="s">
        <v>9</v>
      </c>
      <c r="F8" s="21" t="s">
        <v>9</v>
      </c>
      <c r="G8" s="21" t="s">
        <v>9</v>
      </c>
      <c r="H8" s="35" t="s">
        <v>9</v>
      </c>
      <c r="I8" s="21" t="s">
        <v>9</v>
      </c>
      <c r="J8" s="21" t="s">
        <v>9</v>
      </c>
      <c r="K8" s="210"/>
      <c r="L8" s="210"/>
      <c r="M8" s="210" t="s">
        <v>9</v>
      </c>
      <c r="N8" s="21" t="s">
        <v>9</v>
      </c>
      <c r="O8" s="51">
        <f t="shared" si="1"/>
        <v>8</v>
      </c>
      <c r="P8" s="78">
        <f t="shared" si="4"/>
        <v>0</v>
      </c>
      <c r="Q8" s="273">
        <f t="shared" si="2"/>
        <v>8</v>
      </c>
      <c r="R8" s="269">
        <v>350000</v>
      </c>
      <c r="S8" s="52">
        <f t="shared" si="3"/>
        <v>2800000</v>
      </c>
      <c r="T8" s="370"/>
      <c r="U8" s="355"/>
    </row>
    <row r="9" spans="1:22" s="55" customFormat="1" ht="15.6" customHeight="1" x14ac:dyDescent="0.3">
      <c r="A9" s="294">
        <f t="shared" si="5"/>
        <v>6</v>
      </c>
      <c r="B9" s="158" t="s">
        <v>145</v>
      </c>
      <c r="C9" s="29" t="s">
        <v>60</v>
      </c>
      <c r="D9" s="92" t="s">
        <v>5</v>
      </c>
      <c r="E9" s="203" t="s">
        <v>9</v>
      </c>
      <c r="F9" s="21" t="s">
        <v>9</v>
      </c>
      <c r="G9" s="21" t="s">
        <v>9</v>
      </c>
      <c r="H9" s="35" t="s">
        <v>9</v>
      </c>
      <c r="I9" s="21"/>
      <c r="J9" s="21" t="s">
        <v>9</v>
      </c>
      <c r="K9" s="210"/>
      <c r="L9" s="210" t="s">
        <v>9</v>
      </c>
      <c r="M9" s="210" t="s">
        <v>9</v>
      </c>
      <c r="N9" s="21" t="s">
        <v>9</v>
      </c>
      <c r="O9" s="51">
        <f t="shared" si="1"/>
        <v>8</v>
      </c>
      <c r="P9" s="78">
        <f t="shared" si="4"/>
        <v>0</v>
      </c>
      <c r="Q9" s="273">
        <f t="shared" si="2"/>
        <v>8</v>
      </c>
      <c r="R9" s="269">
        <v>350000</v>
      </c>
      <c r="S9" s="52">
        <f t="shared" si="3"/>
        <v>2800000</v>
      </c>
      <c r="T9" s="370"/>
      <c r="U9" s="358"/>
    </row>
    <row r="10" spans="1:22" s="31" customFormat="1" ht="15.6" customHeight="1" x14ac:dyDescent="0.3">
      <c r="A10" s="61">
        <f t="shared" si="5"/>
        <v>7</v>
      </c>
      <c r="B10" s="28" t="s">
        <v>34</v>
      </c>
      <c r="C10" s="48" t="s">
        <v>80</v>
      </c>
      <c r="D10" s="90" t="s">
        <v>5</v>
      </c>
      <c r="E10" s="203" t="s">
        <v>9</v>
      </c>
      <c r="F10" s="21" t="s">
        <v>9</v>
      </c>
      <c r="G10" s="21" t="s">
        <v>9</v>
      </c>
      <c r="H10" s="35" t="s">
        <v>9</v>
      </c>
      <c r="I10" s="21" t="s">
        <v>9</v>
      </c>
      <c r="J10" s="21" t="s">
        <v>9</v>
      </c>
      <c r="K10" s="210"/>
      <c r="L10" s="210" t="s">
        <v>9</v>
      </c>
      <c r="M10" s="210" t="s">
        <v>9</v>
      </c>
      <c r="N10" s="21" t="s">
        <v>9</v>
      </c>
      <c r="O10" s="51">
        <f t="shared" si="1"/>
        <v>9</v>
      </c>
      <c r="P10" s="78">
        <f t="shared" si="4"/>
        <v>0</v>
      </c>
      <c r="Q10" s="273">
        <f t="shared" si="2"/>
        <v>9</v>
      </c>
      <c r="R10" s="269">
        <v>300000</v>
      </c>
      <c r="S10" s="52">
        <f t="shared" si="3"/>
        <v>2700000</v>
      </c>
      <c r="T10" s="370"/>
      <c r="U10" s="358"/>
    </row>
    <row r="11" spans="1:22" s="31" customFormat="1" ht="15.6" customHeight="1" x14ac:dyDescent="0.3">
      <c r="A11" s="61">
        <f t="shared" si="5"/>
        <v>8</v>
      </c>
      <c r="B11" s="28" t="s">
        <v>46</v>
      </c>
      <c r="C11" s="48" t="s">
        <v>60</v>
      </c>
      <c r="D11" s="90" t="s">
        <v>5</v>
      </c>
      <c r="E11" s="203" t="s">
        <v>9</v>
      </c>
      <c r="F11" s="21" t="s">
        <v>9</v>
      </c>
      <c r="G11" s="21" t="s">
        <v>9</v>
      </c>
      <c r="H11" s="35" t="s">
        <v>9</v>
      </c>
      <c r="I11" s="21" t="s">
        <v>9</v>
      </c>
      <c r="J11" s="21" t="s">
        <v>9</v>
      </c>
      <c r="K11" s="210" t="s">
        <v>9</v>
      </c>
      <c r="L11" s="210" t="s">
        <v>9</v>
      </c>
      <c r="M11" s="210" t="s">
        <v>9</v>
      </c>
      <c r="N11" s="21" t="s">
        <v>9</v>
      </c>
      <c r="O11" s="51">
        <f t="shared" si="1"/>
        <v>10</v>
      </c>
      <c r="P11" s="78">
        <f t="shared" si="4"/>
        <v>0</v>
      </c>
      <c r="Q11" s="273">
        <f t="shared" si="2"/>
        <v>10</v>
      </c>
      <c r="R11" s="269">
        <v>360000</v>
      </c>
      <c r="S11" s="52">
        <f t="shared" si="3"/>
        <v>3600000</v>
      </c>
      <c r="T11" s="370"/>
      <c r="U11" s="355"/>
    </row>
    <row r="12" spans="1:22" s="31" customFormat="1" x14ac:dyDescent="0.3">
      <c r="A12" s="61">
        <f t="shared" si="5"/>
        <v>9</v>
      </c>
      <c r="B12" s="28" t="s">
        <v>42</v>
      </c>
      <c r="C12" s="48" t="s">
        <v>80</v>
      </c>
      <c r="D12" s="90" t="s">
        <v>4</v>
      </c>
      <c r="E12" s="203"/>
      <c r="F12" s="21"/>
      <c r="G12" s="21"/>
      <c r="H12" s="35"/>
      <c r="I12" s="21"/>
      <c r="J12" s="21"/>
      <c r="K12" s="210"/>
      <c r="L12" s="210"/>
      <c r="M12" s="210"/>
      <c r="N12" s="21"/>
      <c r="O12" s="51">
        <f t="shared" si="1"/>
        <v>0</v>
      </c>
      <c r="P12" s="78">
        <f t="shared" si="4"/>
        <v>0</v>
      </c>
      <c r="Q12" s="273">
        <f t="shared" si="2"/>
        <v>0</v>
      </c>
      <c r="R12" s="269">
        <v>400000</v>
      </c>
      <c r="S12" s="52">
        <f t="shared" si="3"/>
        <v>0</v>
      </c>
      <c r="T12" s="370"/>
      <c r="U12" s="355"/>
    </row>
    <row r="13" spans="1:22" s="31" customFormat="1" x14ac:dyDescent="0.3">
      <c r="A13" s="61">
        <v>10</v>
      </c>
      <c r="B13" s="28" t="s">
        <v>43</v>
      </c>
      <c r="C13" s="48" t="s">
        <v>80</v>
      </c>
      <c r="D13" s="90" t="s">
        <v>5</v>
      </c>
      <c r="E13" s="203"/>
      <c r="F13" s="21"/>
      <c r="G13" s="21"/>
      <c r="H13" s="35"/>
      <c r="I13" s="21"/>
      <c r="J13" s="21"/>
      <c r="K13" s="210"/>
      <c r="L13" s="210"/>
      <c r="M13" s="210"/>
      <c r="N13" s="21"/>
      <c r="O13" s="51">
        <f t="shared" si="1"/>
        <v>0</v>
      </c>
      <c r="P13" s="78">
        <f t="shared" si="4"/>
        <v>0</v>
      </c>
      <c r="Q13" s="273">
        <f t="shared" si="2"/>
        <v>0</v>
      </c>
      <c r="R13" s="269">
        <v>280000</v>
      </c>
      <c r="S13" s="52">
        <f t="shared" si="3"/>
        <v>0</v>
      </c>
      <c r="T13" s="370"/>
      <c r="U13" s="355"/>
    </row>
    <row r="14" spans="1:22" s="31" customFormat="1" ht="15.6" customHeight="1" x14ac:dyDescent="0.3">
      <c r="A14" s="61">
        <f t="shared" si="5"/>
        <v>11</v>
      </c>
      <c r="B14" s="28" t="s">
        <v>41</v>
      </c>
      <c r="C14" s="48" t="s">
        <v>80</v>
      </c>
      <c r="D14" s="90" t="s">
        <v>4</v>
      </c>
      <c r="E14" s="203" t="s">
        <v>9</v>
      </c>
      <c r="F14" s="21" t="s">
        <v>9</v>
      </c>
      <c r="G14" s="21" t="s">
        <v>9</v>
      </c>
      <c r="H14" s="35" t="s">
        <v>8</v>
      </c>
      <c r="I14" s="21" t="s">
        <v>9</v>
      </c>
      <c r="J14" s="21" t="s">
        <v>9</v>
      </c>
      <c r="K14" s="210" t="s">
        <v>9</v>
      </c>
      <c r="L14" s="210" t="s">
        <v>9</v>
      </c>
      <c r="M14" s="210" t="s">
        <v>9</v>
      </c>
      <c r="N14" s="21" t="s">
        <v>9</v>
      </c>
      <c r="O14" s="51">
        <f t="shared" si="1"/>
        <v>9</v>
      </c>
      <c r="P14" s="78">
        <f t="shared" si="4"/>
        <v>0.5</v>
      </c>
      <c r="Q14" s="273">
        <f t="shared" si="2"/>
        <v>9.5</v>
      </c>
      <c r="R14" s="269">
        <v>400000</v>
      </c>
      <c r="S14" s="52">
        <f>Q14*R14</f>
        <v>3800000</v>
      </c>
      <c r="T14" s="370"/>
      <c r="U14" s="355"/>
    </row>
    <row r="15" spans="1:22" s="31" customFormat="1" ht="15.6" customHeight="1" x14ac:dyDescent="0.3">
      <c r="A15" s="61">
        <f t="shared" si="5"/>
        <v>12</v>
      </c>
      <c r="B15" s="28" t="s">
        <v>47</v>
      </c>
      <c r="C15" s="48"/>
      <c r="D15" s="90" t="s">
        <v>4</v>
      </c>
      <c r="E15" s="203" t="s">
        <v>9</v>
      </c>
      <c r="F15" s="21" t="s">
        <v>9</v>
      </c>
      <c r="G15" s="21" t="s">
        <v>9</v>
      </c>
      <c r="H15" s="35" t="s">
        <v>9</v>
      </c>
      <c r="I15" s="21" t="s">
        <v>9</v>
      </c>
      <c r="J15" s="21" t="s">
        <v>9</v>
      </c>
      <c r="K15" s="210"/>
      <c r="L15" s="210" t="s">
        <v>9</v>
      </c>
      <c r="M15" s="210" t="s">
        <v>9</v>
      </c>
      <c r="N15" s="21" t="s">
        <v>9</v>
      </c>
      <c r="O15" s="51">
        <f t="shared" si="1"/>
        <v>9</v>
      </c>
      <c r="P15" s="78">
        <f t="shared" si="4"/>
        <v>0</v>
      </c>
      <c r="Q15" s="273">
        <f t="shared" si="2"/>
        <v>9</v>
      </c>
      <c r="R15" s="269">
        <v>390000</v>
      </c>
      <c r="S15" s="52">
        <f t="shared" si="3"/>
        <v>3510000</v>
      </c>
      <c r="T15" s="370"/>
      <c r="U15" s="355"/>
    </row>
    <row r="16" spans="1:22" s="31" customFormat="1" x14ac:dyDescent="0.3">
      <c r="A16" s="61">
        <f t="shared" si="5"/>
        <v>13</v>
      </c>
      <c r="B16" s="28" t="s">
        <v>61</v>
      </c>
      <c r="C16" s="48" t="s">
        <v>60</v>
      </c>
      <c r="D16" s="92" t="s">
        <v>4</v>
      </c>
      <c r="E16" s="203"/>
      <c r="F16" s="21"/>
      <c r="G16" s="21"/>
      <c r="H16" s="35"/>
      <c r="I16" s="21"/>
      <c r="J16" s="21"/>
      <c r="K16" s="210"/>
      <c r="L16" s="210"/>
      <c r="M16" s="210"/>
      <c r="N16" s="21"/>
      <c r="O16" s="51">
        <f t="shared" si="1"/>
        <v>0</v>
      </c>
      <c r="P16" s="78">
        <f t="shared" si="4"/>
        <v>0</v>
      </c>
      <c r="Q16" s="273">
        <f t="shared" si="2"/>
        <v>0</v>
      </c>
      <c r="R16" s="270">
        <v>370000</v>
      </c>
      <c r="S16" s="52">
        <f t="shared" si="3"/>
        <v>0</v>
      </c>
      <c r="T16" s="370"/>
      <c r="U16" s="355"/>
    </row>
    <row r="17" spans="1:21" s="31" customFormat="1" x14ac:dyDescent="0.3">
      <c r="A17" s="61">
        <f t="shared" si="5"/>
        <v>14</v>
      </c>
      <c r="B17" s="28" t="s">
        <v>62</v>
      </c>
      <c r="C17" s="48"/>
      <c r="D17" s="92" t="s">
        <v>4</v>
      </c>
      <c r="E17" s="203"/>
      <c r="F17" s="21"/>
      <c r="G17" s="21"/>
      <c r="H17" s="35"/>
      <c r="I17" s="21"/>
      <c r="J17" s="21"/>
      <c r="K17" s="210"/>
      <c r="L17" s="210"/>
      <c r="M17" s="210"/>
      <c r="N17" s="21"/>
      <c r="O17" s="51">
        <f t="shared" si="1"/>
        <v>0</v>
      </c>
      <c r="P17" s="78">
        <f t="shared" si="4"/>
        <v>0</v>
      </c>
      <c r="Q17" s="273">
        <f t="shared" si="2"/>
        <v>0</v>
      </c>
      <c r="R17" s="270">
        <v>360000</v>
      </c>
      <c r="S17" s="52">
        <f t="shared" si="3"/>
        <v>0</v>
      </c>
      <c r="T17" s="370"/>
      <c r="U17" s="355"/>
    </row>
    <row r="18" spans="1:21" s="31" customFormat="1" x14ac:dyDescent="0.3">
      <c r="A18" s="61">
        <f t="shared" si="5"/>
        <v>15</v>
      </c>
      <c r="B18" s="28" t="s">
        <v>63</v>
      </c>
      <c r="C18" s="48" t="s">
        <v>60</v>
      </c>
      <c r="D18" s="92" t="s">
        <v>4</v>
      </c>
      <c r="E18" s="203" t="s">
        <v>9</v>
      </c>
      <c r="F18" s="21" t="s">
        <v>9</v>
      </c>
      <c r="G18" s="21" t="s">
        <v>9</v>
      </c>
      <c r="H18" s="35" t="s">
        <v>9</v>
      </c>
      <c r="I18" s="21" t="s">
        <v>9</v>
      </c>
      <c r="J18" s="21"/>
      <c r="K18" s="210"/>
      <c r="L18" s="210"/>
      <c r="M18" s="210"/>
      <c r="N18" s="21"/>
      <c r="O18" s="51">
        <f t="shared" si="1"/>
        <v>5</v>
      </c>
      <c r="P18" s="78">
        <f t="shared" si="4"/>
        <v>0</v>
      </c>
      <c r="Q18" s="273">
        <f t="shared" si="2"/>
        <v>5</v>
      </c>
      <c r="R18" s="270">
        <v>380000</v>
      </c>
      <c r="S18" s="52">
        <f t="shared" si="3"/>
        <v>1900000</v>
      </c>
      <c r="T18" s="370"/>
      <c r="U18" s="355"/>
    </row>
    <row r="19" spans="1:21" s="31" customFormat="1" x14ac:dyDescent="0.3">
      <c r="A19" s="61">
        <f t="shared" si="5"/>
        <v>16</v>
      </c>
      <c r="B19" s="28" t="s">
        <v>59</v>
      </c>
      <c r="C19" s="48" t="s">
        <v>60</v>
      </c>
      <c r="D19" s="92" t="s">
        <v>5</v>
      </c>
      <c r="E19" s="203"/>
      <c r="F19" s="21"/>
      <c r="G19" s="21"/>
      <c r="H19" s="35"/>
      <c r="I19" s="21"/>
      <c r="J19" s="21"/>
      <c r="K19" s="210"/>
      <c r="L19" s="210"/>
      <c r="M19" s="210"/>
      <c r="N19" s="21"/>
      <c r="O19" s="51">
        <f t="shared" si="1"/>
        <v>0</v>
      </c>
      <c r="P19" s="78">
        <f t="shared" si="4"/>
        <v>0</v>
      </c>
      <c r="Q19" s="273">
        <f t="shared" si="2"/>
        <v>0</v>
      </c>
      <c r="R19" s="270">
        <v>270000</v>
      </c>
      <c r="S19" s="52">
        <f t="shared" si="3"/>
        <v>0</v>
      </c>
      <c r="T19" s="370"/>
      <c r="U19" s="355"/>
    </row>
    <row r="20" spans="1:21" s="31" customFormat="1" x14ac:dyDescent="0.3">
      <c r="A20" s="61">
        <f t="shared" si="5"/>
        <v>17</v>
      </c>
      <c r="B20" s="28" t="s">
        <v>64</v>
      </c>
      <c r="C20" s="48" t="s">
        <v>60</v>
      </c>
      <c r="D20" s="92" t="s">
        <v>4</v>
      </c>
      <c r="E20" s="203" t="s">
        <v>9</v>
      </c>
      <c r="F20" s="21" t="s">
        <v>9</v>
      </c>
      <c r="G20" s="21" t="s">
        <v>9</v>
      </c>
      <c r="H20" s="35" t="s">
        <v>9</v>
      </c>
      <c r="I20" s="21"/>
      <c r="J20" s="21"/>
      <c r="K20" s="210"/>
      <c r="L20" s="210"/>
      <c r="M20" s="210"/>
      <c r="N20" s="21"/>
      <c r="O20" s="51">
        <f t="shared" si="1"/>
        <v>4</v>
      </c>
      <c r="P20" s="78">
        <f t="shared" si="4"/>
        <v>0</v>
      </c>
      <c r="Q20" s="273">
        <f t="shared" si="2"/>
        <v>4</v>
      </c>
      <c r="R20" s="270">
        <v>380000</v>
      </c>
      <c r="S20" s="52">
        <f t="shared" si="3"/>
        <v>1520000</v>
      </c>
      <c r="T20" s="370"/>
      <c r="U20" s="355"/>
    </row>
    <row r="21" spans="1:21" s="55" customFormat="1" x14ac:dyDescent="0.3">
      <c r="A21" s="61">
        <f t="shared" si="5"/>
        <v>18</v>
      </c>
      <c r="B21" s="158" t="s">
        <v>65</v>
      </c>
      <c r="C21" s="29" t="s">
        <v>60</v>
      </c>
      <c r="D21" s="92" t="s">
        <v>4</v>
      </c>
      <c r="E21" s="203"/>
      <c r="F21" s="21"/>
      <c r="G21" s="21"/>
      <c r="H21" s="35"/>
      <c r="I21" s="21"/>
      <c r="J21" s="21"/>
      <c r="K21" s="210"/>
      <c r="L21" s="210"/>
      <c r="M21" s="210"/>
      <c r="N21" s="21"/>
      <c r="O21" s="51">
        <f t="shared" si="1"/>
        <v>0</v>
      </c>
      <c r="P21" s="78">
        <f t="shared" si="4"/>
        <v>0</v>
      </c>
      <c r="Q21" s="273">
        <f t="shared" si="2"/>
        <v>0</v>
      </c>
      <c r="R21" s="270">
        <v>370000</v>
      </c>
      <c r="S21" s="52">
        <f t="shared" si="3"/>
        <v>0</v>
      </c>
      <c r="T21" s="370"/>
      <c r="U21" s="358"/>
    </row>
    <row r="22" spans="1:21" s="31" customFormat="1" x14ac:dyDescent="0.3">
      <c r="A22" s="61">
        <f t="shared" si="5"/>
        <v>19</v>
      </c>
      <c r="B22" s="48" t="s">
        <v>126</v>
      </c>
      <c r="C22" s="48"/>
      <c r="D22" s="91" t="s">
        <v>5</v>
      </c>
      <c r="E22" s="203" t="s">
        <v>9</v>
      </c>
      <c r="F22" s="21" t="s">
        <v>9</v>
      </c>
      <c r="G22" s="21" t="s">
        <v>9</v>
      </c>
      <c r="H22" s="35" t="s">
        <v>9</v>
      </c>
      <c r="I22" s="21" t="s">
        <v>9</v>
      </c>
      <c r="J22" s="21" t="s">
        <v>9</v>
      </c>
      <c r="K22" s="210" t="s">
        <v>9</v>
      </c>
      <c r="L22" s="210" t="s">
        <v>9</v>
      </c>
      <c r="M22" s="210"/>
      <c r="N22" s="21" t="s">
        <v>9</v>
      </c>
      <c r="O22" s="51">
        <f t="shared" si="1"/>
        <v>9</v>
      </c>
      <c r="P22" s="78">
        <f t="shared" si="4"/>
        <v>0</v>
      </c>
      <c r="Q22" s="273">
        <f t="shared" si="2"/>
        <v>9</v>
      </c>
      <c r="R22" s="269">
        <v>280000</v>
      </c>
      <c r="S22" s="52">
        <f t="shared" si="3"/>
        <v>2520000</v>
      </c>
      <c r="T22" s="370"/>
      <c r="U22" s="355"/>
    </row>
    <row r="23" spans="1:21" s="31" customFormat="1" x14ac:dyDescent="0.3">
      <c r="A23" s="61">
        <f t="shared" si="5"/>
        <v>20</v>
      </c>
      <c r="B23" s="116" t="s">
        <v>143</v>
      </c>
      <c r="C23" s="116"/>
      <c r="D23" s="117" t="s">
        <v>4</v>
      </c>
      <c r="E23" s="203" t="s">
        <v>9</v>
      </c>
      <c r="F23" s="21" t="s">
        <v>9</v>
      </c>
      <c r="G23" s="21" t="s">
        <v>9</v>
      </c>
      <c r="H23" s="35" t="s">
        <v>9</v>
      </c>
      <c r="I23" s="21" t="s">
        <v>9</v>
      </c>
      <c r="J23" s="21" t="s">
        <v>9</v>
      </c>
      <c r="K23" s="210" t="s">
        <v>9</v>
      </c>
      <c r="L23" s="210" t="s">
        <v>9</v>
      </c>
      <c r="M23" s="210" t="s">
        <v>9</v>
      </c>
      <c r="N23" s="21" t="s">
        <v>9</v>
      </c>
      <c r="O23" s="51">
        <f t="shared" si="1"/>
        <v>10</v>
      </c>
      <c r="P23" s="78">
        <f t="shared" si="4"/>
        <v>0</v>
      </c>
      <c r="Q23" s="273">
        <f t="shared" si="2"/>
        <v>10</v>
      </c>
      <c r="R23" s="270">
        <v>380000</v>
      </c>
      <c r="S23" s="52">
        <f t="shared" si="3"/>
        <v>3800000</v>
      </c>
      <c r="T23" s="371"/>
      <c r="U23" s="359"/>
    </row>
    <row r="24" spans="1:21" s="31" customFormat="1" x14ac:dyDescent="0.3">
      <c r="A24" s="61">
        <f t="shared" si="5"/>
        <v>21</v>
      </c>
      <c r="B24" s="116" t="s">
        <v>144</v>
      </c>
      <c r="C24" s="116"/>
      <c r="D24" s="117" t="s">
        <v>4</v>
      </c>
      <c r="E24" s="203" t="s">
        <v>9</v>
      </c>
      <c r="F24" s="21" t="s">
        <v>9</v>
      </c>
      <c r="G24" s="21" t="s">
        <v>9</v>
      </c>
      <c r="H24" s="35" t="s">
        <v>9</v>
      </c>
      <c r="I24" s="21" t="s">
        <v>9</v>
      </c>
      <c r="J24" s="21" t="s">
        <v>9</v>
      </c>
      <c r="K24" s="210" t="s">
        <v>9</v>
      </c>
      <c r="L24" s="210" t="s">
        <v>9</v>
      </c>
      <c r="M24" s="210" t="s">
        <v>9</v>
      </c>
      <c r="N24" s="21" t="s">
        <v>9</v>
      </c>
      <c r="O24" s="51">
        <f t="shared" si="1"/>
        <v>10</v>
      </c>
      <c r="P24" s="78">
        <f t="shared" si="4"/>
        <v>0</v>
      </c>
      <c r="Q24" s="273">
        <f t="shared" si="2"/>
        <v>10</v>
      </c>
      <c r="R24" s="270">
        <v>280000</v>
      </c>
      <c r="S24" s="52">
        <f t="shared" si="3"/>
        <v>2800000</v>
      </c>
      <c r="T24" s="371"/>
      <c r="U24" s="359"/>
    </row>
    <row r="25" spans="1:21" s="31" customFormat="1" x14ac:dyDescent="0.3">
      <c r="A25" s="61">
        <f t="shared" si="5"/>
        <v>22</v>
      </c>
      <c r="B25" s="116" t="s">
        <v>164</v>
      </c>
      <c r="C25" s="116"/>
      <c r="D25" s="117" t="s">
        <v>5</v>
      </c>
      <c r="E25" s="206"/>
      <c r="F25" s="21"/>
      <c r="G25" s="21"/>
      <c r="H25" s="35"/>
      <c r="I25" s="21"/>
      <c r="J25" s="21"/>
      <c r="K25" s="210"/>
      <c r="L25" s="210"/>
      <c r="M25" s="210"/>
      <c r="N25" s="21"/>
      <c r="O25" s="51">
        <f t="shared" si="1"/>
        <v>0</v>
      </c>
      <c r="P25" s="78">
        <f t="shared" si="4"/>
        <v>0</v>
      </c>
      <c r="Q25" s="273">
        <f t="shared" si="2"/>
        <v>0</v>
      </c>
      <c r="R25" s="270">
        <v>270000</v>
      </c>
      <c r="S25" s="52">
        <f t="shared" si="3"/>
        <v>0</v>
      </c>
      <c r="T25" s="371"/>
      <c r="U25" s="359"/>
    </row>
    <row r="26" spans="1:21" s="31" customFormat="1" x14ac:dyDescent="0.3">
      <c r="A26" s="61">
        <f t="shared" si="5"/>
        <v>23</v>
      </c>
      <c r="B26" s="116" t="s">
        <v>171</v>
      </c>
      <c r="C26" s="116"/>
      <c r="D26" s="117" t="s">
        <v>5</v>
      </c>
      <c r="E26" s="206"/>
      <c r="F26" s="21"/>
      <c r="G26" s="21"/>
      <c r="H26" s="35"/>
      <c r="I26" s="21"/>
      <c r="J26" s="21"/>
      <c r="K26" s="210"/>
      <c r="L26" s="210"/>
      <c r="M26" s="210"/>
      <c r="N26" s="21"/>
      <c r="O26" s="51">
        <f t="shared" si="1"/>
        <v>0</v>
      </c>
      <c r="P26" s="78">
        <f t="shared" si="4"/>
        <v>0</v>
      </c>
      <c r="Q26" s="273">
        <f t="shared" si="2"/>
        <v>0</v>
      </c>
      <c r="R26" s="270">
        <v>280000</v>
      </c>
      <c r="S26" s="53">
        <f t="shared" si="3"/>
        <v>0</v>
      </c>
      <c r="T26" s="371"/>
      <c r="U26" s="359"/>
    </row>
    <row r="27" spans="1:21" s="31" customFormat="1" x14ac:dyDescent="0.3">
      <c r="A27" s="61">
        <f t="shared" si="5"/>
        <v>24</v>
      </c>
      <c r="B27" s="116" t="s">
        <v>172</v>
      </c>
      <c r="C27" s="116"/>
      <c r="D27" s="117" t="s">
        <v>4</v>
      </c>
      <c r="E27" s="35"/>
      <c r="F27" s="21"/>
      <c r="G27" s="35"/>
      <c r="H27" s="21"/>
      <c r="I27" s="21"/>
      <c r="J27" s="21"/>
      <c r="K27" s="211"/>
      <c r="L27" s="211"/>
      <c r="M27" s="211"/>
      <c r="N27" s="32"/>
      <c r="O27" s="51">
        <f t="shared" si="1"/>
        <v>0</v>
      </c>
      <c r="P27" s="78">
        <f t="shared" si="4"/>
        <v>0</v>
      </c>
      <c r="Q27" s="273">
        <f t="shared" si="2"/>
        <v>0</v>
      </c>
      <c r="R27" s="270">
        <v>370000</v>
      </c>
      <c r="S27" s="53">
        <f t="shared" si="3"/>
        <v>0</v>
      </c>
      <c r="T27" s="371"/>
      <c r="U27" s="359"/>
    </row>
    <row r="28" spans="1:21" s="55" customFormat="1" x14ac:dyDescent="0.3">
      <c r="A28" s="294">
        <v>25</v>
      </c>
      <c r="B28" s="159" t="s">
        <v>194</v>
      </c>
      <c r="C28" s="159"/>
      <c r="D28" s="160" t="s">
        <v>4</v>
      </c>
      <c r="E28" s="206"/>
      <c r="F28" s="32"/>
      <c r="G28" s="32"/>
      <c r="H28" s="36"/>
      <c r="I28" s="32"/>
      <c r="J28" s="32"/>
      <c r="K28" s="211"/>
      <c r="L28" s="211"/>
      <c r="M28" s="211"/>
      <c r="N28" s="32"/>
      <c r="O28" s="51">
        <f t="shared" si="1"/>
        <v>0</v>
      </c>
      <c r="P28" s="78">
        <f t="shared" si="4"/>
        <v>0</v>
      </c>
      <c r="Q28" s="273">
        <f t="shared" si="2"/>
        <v>0</v>
      </c>
      <c r="R28" s="270">
        <v>400000</v>
      </c>
      <c r="S28" s="53">
        <f t="shared" si="3"/>
        <v>0</v>
      </c>
      <c r="T28" s="371"/>
      <c r="U28" s="364"/>
    </row>
    <row r="29" spans="1:21" s="55" customFormat="1" x14ac:dyDescent="0.3">
      <c r="A29" s="294">
        <f t="shared" si="5"/>
        <v>26</v>
      </c>
      <c r="B29" s="159" t="s">
        <v>220</v>
      </c>
      <c r="C29" s="159"/>
      <c r="D29" s="160" t="s">
        <v>4</v>
      </c>
      <c r="E29" s="206" t="s">
        <v>9</v>
      </c>
      <c r="F29" s="32" t="s">
        <v>9</v>
      </c>
      <c r="G29" s="32"/>
      <c r="H29" s="36" t="s">
        <v>9</v>
      </c>
      <c r="I29" s="32" t="s">
        <v>9</v>
      </c>
      <c r="J29" s="32"/>
      <c r="K29" s="211" t="s">
        <v>8</v>
      </c>
      <c r="L29" s="211"/>
      <c r="M29" s="211" t="s">
        <v>9</v>
      </c>
      <c r="N29" s="32" t="s">
        <v>9</v>
      </c>
      <c r="O29" s="51">
        <f t="shared" si="1"/>
        <v>6</v>
      </c>
      <c r="P29" s="78">
        <f t="shared" si="4"/>
        <v>0.5</v>
      </c>
      <c r="Q29" s="273">
        <f t="shared" si="2"/>
        <v>6.5</v>
      </c>
      <c r="R29" s="270">
        <v>370000</v>
      </c>
      <c r="S29" s="53">
        <f t="shared" si="3"/>
        <v>2405000</v>
      </c>
      <c r="T29" s="354"/>
      <c r="U29" s="364"/>
    </row>
    <row r="30" spans="1:21" s="55" customFormat="1" x14ac:dyDescent="0.3">
      <c r="A30" s="294">
        <f t="shared" si="5"/>
        <v>27</v>
      </c>
      <c r="B30" s="159" t="s">
        <v>221</v>
      </c>
      <c r="C30" s="159"/>
      <c r="D30" s="160" t="s">
        <v>4</v>
      </c>
      <c r="E30" s="206"/>
      <c r="F30" s="32"/>
      <c r="G30" s="32"/>
      <c r="H30" s="36"/>
      <c r="I30" s="32"/>
      <c r="J30" s="32"/>
      <c r="K30" s="211"/>
      <c r="L30" s="211"/>
      <c r="M30" s="211"/>
      <c r="N30" s="32"/>
      <c r="O30" s="51">
        <f t="shared" si="1"/>
        <v>0</v>
      </c>
      <c r="P30" s="78">
        <f t="shared" si="4"/>
        <v>0</v>
      </c>
      <c r="Q30" s="273">
        <f t="shared" si="2"/>
        <v>0</v>
      </c>
      <c r="R30" s="270">
        <v>380000</v>
      </c>
      <c r="S30" s="53">
        <f t="shared" si="3"/>
        <v>0</v>
      </c>
      <c r="T30" s="372"/>
      <c r="U30" s="361"/>
    </row>
    <row r="31" spans="1:21" s="31" customFormat="1" x14ac:dyDescent="0.3">
      <c r="A31" s="61">
        <f t="shared" si="5"/>
        <v>28</v>
      </c>
      <c r="B31" s="48" t="s">
        <v>222</v>
      </c>
      <c r="C31" s="48"/>
      <c r="D31" s="91" t="s">
        <v>4</v>
      </c>
      <c r="E31" s="203" t="s">
        <v>9</v>
      </c>
      <c r="F31" s="32" t="s">
        <v>9</v>
      </c>
      <c r="G31" s="32" t="s">
        <v>9</v>
      </c>
      <c r="H31" s="36" t="s">
        <v>9</v>
      </c>
      <c r="I31" s="32" t="s">
        <v>9</v>
      </c>
      <c r="J31" s="32" t="s">
        <v>9</v>
      </c>
      <c r="K31" s="211" t="s">
        <v>9</v>
      </c>
      <c r="L31" s="211" t="s">
        <v>9</v>
      </c>
      <c r="M31" s="211" t="s">
        <v>9</v>
      </c>
      <c r="N31" s="32" t="s">
        <v>9</v>
      </c>
      <c r="O31" s="51">
        <f t="shared" si="1"/>
        <v>10</v>
      </c>
      <c r="P31" s="78">
        <f t="shared" si="4"/>
        <v>0</v>
      </c>
      <c r="Q31" s="273">
        <f t="shared" si="2"/>
        <v>10</v>
      </c>
      <c r="R31" s="270">
        <v>360000</v>
      </c>
      <c r="S31" s="53">
        <f t="shared" si="3"/>
        <v>3600000</v>
      </c>
      <c r="T31" s="371"/>
      <c r="U31" s="359"/>
    </row>
    <row r="32" spans="1:21" s="31" customFormat="1" x14ac:dyDescent="0.3">
      <c r="A32" s="61">
        <f t="shared" si="5"/>
        <v>29</v>
      </c>
      <c r="B32" s="116" t="s">
        <v>223</v>
      </c>
      <c r="C32" s="116"/>
      <c r="D32" s="117" t="s">
        <v>5</v>
      </c>
      <c r="E32" s="203"/>
      <c r="F32" s="32"/>
      <c r="G32" s="32"/>
      <c r="H32" s="36"/>
      <c r="I32" s="32"/>
      <c r="J32" s="32"/>
      <c r="K32" s="211"/>
      <c r="L32" s="211"/>
      <c r="M32" s="211"/>
      <c r="N32" s="32"/>
      <c r="O32" s="51">
        <f t="shared" si="1"/>
        <v>0</v>
      </c>
      <c r="P32" s="78">
        <f t="shared" si="4"/>
        <v>0</v>
      </c>
      <c r="Q32" s="273">
        <f t="shared" si="2"/>
        <v>0</v>
      </c>
      <c r="R32" s="270">
        <v>280000</v>
      </c>
      <c r="S32" s="53">
        <f>Q32*R32</f>
        <v>0</v>
      </c>
      <c r="T32" s="371"/>
      <c r="U32" s="359"/>
    </row>
    <row r="33" spans="1:22" s="31" customFormat="1" x14ac:dyDescent="0.3">
      <c r="A33" s="61">
        <f>A32+1</f>
        <v>30</v>
      </c>
      <c r="B33" s="116" t="s">
        <v>224</v>
      </c>
      <c r="C33" s="116"/>
      <c r="D33" s="117" t="s">
        <v>4</v>
      </c>
      <c r="E33" s="206"/>
      <c r="F33" s="32"/>
      <c r="G33" s="32"/>
      <c r="H33" s="36"/>
      <c r="I33" s="32"/>
      <c r="J33" s="32"/>
      <c r="K33" s="211"/>
      <c r="L33" s="211"/>
      <c r="M33" s="211"/>
      <c r="N33" s="32"/>
      <c r="O33" s="51">
        <f t="shared" si="1"/>
        <v>0</v>
      </c>
      <c r="P33" s="78">
        <f t="shared" si="4"/>
        <v>0</v>
      </c>
      <c r="Q33" s="273">
        <f t="shared" si="2"/>
        <v>0</v>
      </c>
      <c r="R33" s="270">
        <v>370000</v>
      </c>
      <c r="S33" s="53">
        <f t="shared" si="3"/>
        <v>0</v>
      </c>
      <c r="T33" s="371"/>
      <c r="U33" s="359"/>
    </row>
    <row r="34" spans="1:22" s="31" customFormat="1" x14ac:dyDescent="0.3">
      <c r="A34" s="61">
        <f t="shared" si="5"/>
        <v>31</v>
      </c>
      <c r="B34" s="116" t="s">
        <v>225</v>
      </c>
      <c r="C34" s="116"/>
      <c r="D34" s="117" t="s">
        <v>5</v>
      </c>
      <c r="E34" s="206"/>
      <c r="F34" s="32"/>
      <c r="G34" s="32"/>
      <c r="H34" s="36"/>
      <c r="I34" s="32"/>
      <c r="J34" s="32"/>
      <c r="K34" s="211"/>
      <c r="L34" s="211"/>
      <c r="M34" s="211"/>
      <c r="N34" s="32"/>
      <c r="O34" s="51">
        <f t="shared" si="1"/>
        <v>0</v>
      </c>
      <c r="P34" s="78">
        <f t="shared" si="4"/>
        <v>0</v>
      </c>
      <c r="Q34" s="273">
        <f t="shared" si="2"/>
        <v>0</v>
      </c>
      <c r="R34" s="270">
        <v>270000</v>
      </c>
      <c r="S34" s="53">
        <f t="shared" si="3"/>
        <v>0</v>
      </c>
      <c r="T34" s="371"/>
      <c r="U34" s="359"/>
    </row>
    <row r="35" spans="1:22" s="31" customFormat="1" x14ac:dyDescent="0.3">
      <c r="A35" s="61">
        <f t="shared" si="5"/>
        <v>32</v>
      </c>
      <c r="B35" s="116" t="s">
        <v>226</v>
      </c>
      <c r="C35" s="116"/>
      <c r="D35" s="117" t="s">
        <v>4</v>
      </c>
      <c r="E35" s="206"/>
      <c r="F35" s="32"/>
      <c r="G35" s="32"/>
      <c r="H35" s="36"/>
      <c r="I35" s="32"/>
      <c r="J35" s="32"/>
      <c r="K35" s="211"/>
      <c r="L35" s="211"/>
      <c r="M35" s="211"/>
      <c r="N35" s="32"/>
      <c r="O35" s="51">
        <f t="shared" si="1"/>
        <v>0</v>
      </c>
      <c r="P35" s="78">
        <f t="shared" si="4"/>
        <v>0</v>
      </c>
      <c r="Q35" s="273">
        <f t="shared" si="2"/>
        <v>0</v>
      </c>
      <c r="R35" s="270">
        <v>360000</v>
      </c>
      <c r="S35" s="53">
        <f t="shared" si="3"/>
        <v>0</v>
      </c>
      <c r="T35" s="371"/>
      <c r="U35" s="359"/>
    </row>
    <row r="36" spans="1:22" s="55" customFormat="1" ht="15.6" customHeight="1" x14ac:dyDescent="0.3">
      <c r="A36" s="294">
        <f t="shared" si="5"/>
        <v>33</v>
      </c>
      <c r="B36" s="159" t="s">
        <v>229</v>
      </c>
      <c r="C36" s="159"/>
      <c r="D36" s="160" t="s">
        <v>5</v>
      </c>
      <c r="E36" s="206" t="s">
        <v>9</v>
      </c>
      <c r="F36" s="32" t="s">
        <v>9</v>
      </c>
      <c r="G36" s="32" t="s">
        <v>9</v>
      </c>
      <c r="H36" s="36" t="s">
        <v>9</v>
      </c>
      <c r="I36" s="32" t="s">
        <v>9</v>
      </c>
      <c r="J36" s="32" t="s">
        <v>9</v>
      </c>
      <c r="K36" s="211" t="s">
        <v>9</v>
      </c>
      <c r="L36" s="211" t="s">
        <v>9</v>
      </c>
      <c r="M36" s="211" t="s">
        <v>9</v>
      </c>
      <c r="N36" s="32" t="s">
        <v>9</v>
      </c>
      <c r="O36" s="51">
        <f t="shared" ref="O36:O67" si="6">COUNTIF(E36:N36,"X")</f>
        <v>10</v>
      </c>
      <c r="P36" s="78">
        <f t="shared" si="4"/>
        <v>0</v>
      </c>
      <c r="Q36" s="273">
        <f t="shared" si="2"/>
        <v>10</v>
      </c>
      <c r="R36" s="270">
        <v>280000</v>
      </c>
      <c r="S36" s="53">
        <f>Q36*R36</f>
        <v>2800000</v>
      </c>
      <c r="T36" s="371"/>
      <c r="U36" s="362"/>
      <c r="V36" s="295"/>
    </row>
    <row r="37" spans="1:22" s="55" customFormat="1" x14ac:dyDescent="0.3">
      <c r="A37" s="61">
        <f t="shared" si="5"/>
        <v>34</v>
      </c>
      <c r="B37" s="159" t="s">
        <v>230</v>
      </c>
      <c r="C37" s="159"/>
      <c r="D37" s="160" t="s">
        <v>5</v>
      </c>
      <c r="E37" s="206"/>
      <c r="F37" s="32"/>
      <c r="G37" s="32"/>
      <c r="H37" s="36"/>
      <c r="I37" s="32"/>
      <c r="J37" s="32"/>
      <c r="K37" s="211"/>
      <c r="L37" s="211"/>
      <c r="M37" s="211"/>
      <c r="N37" s="32"/>
      <c r="O37" s="51">
        <f t="shared" si="6"/>
        <v>0</v>
      </c>
      <c r="P37" s="78">
        <f t="shared" ref="P37:P68" si="7">COUNTIF(E37:N37,"X/2")/2</f>
        <v>0</v>
      </c>
      <c r="Q37" s="273">
        <f t="shared" si="2"/>
        <v>0</v>
      </c>
      <c r="R37" s="270">
        <v>260000</v>
      </c>
      <c r="S37" s="53">
        <f t="shared" si="3"/>
        <v>0</v>
      </c>
      <c r="T37" s="371"/>
      <c r="U37" s="362"/>
    </row>
    <row r="38" spans="1:22" s="31" customFormat="1" ht="15.6" customHeight="1" x14ac:dyDescent="0.3">
      <c r="A38" s="61">
        <f t="shared" si="5"/>
        <v>35</v>
      </c>
      <c r="B38" s="116" t="s">
        <v>231</v>
      </c>
      <c r="C38" s="116"/>
      <c r="D38" s="117" t="s">
        <v>4</v>
      </c>
      <c r="E38" s="206" t="s">
        <v>9</v>
      </c>
      <c r="F38" s="32" t="s">
        <v>9</v>
      </c>
      <c r="G38" s="32" t="s">
        <v>9</v>
      </c>
      <c r="H38" s="36" t="s">
        <v>9</v>
      </c>
      <c r="I38" s="32" t="s">
        <v>9</v>
      </c>
      <c r="J38" s="32" t="s">
        <v>9</v>
      </c>
      <c r="K38" s="211"/>
      <c r="L38" s="211" t="s">
        <v>9</v>
      </c>
      <c r="M38" s="211" t="s">
        <v>9</v>
      </c>
      <c r="N38" s="32" t="s">
        <v>9</v>
      </c>
      <c r="O38" s="51">
        <f t="shared" si="6"/>
        <v>9</v>
      </c>
      <c r="P38" s="78">
        <f t="shared" si="7"/>
        <v>0</v>
      </c>
      <c r="Q38" s="273">
        <f t="shared" si="2"/>
        <v>9</v>
      </c>
      <c r="R38" s="270">
        <v>360000</v>
      </c>
      <c r="S38" s="53">
        <f t="shared" si="3"/>
        <v>3240000</v>
      </c>
      <c r="T38" s="371"/>
      <c r="U38" s="359"/>
    </row>
    <row r="39" spans="1:22" s="31" customFormat="1" x14ac:dyDescent="0.3">
      <c r="A39" s="61">
        <f t="shared" si="5"/>
        <v>36</v>
      </c>
      <c r="B39" s="116" t="s">
        <v>232</v>
      </c>
      <c r="C39" s="116"/>
      <c r="D39" s="117" t="s">
        <v>4</v>
      </c>
      <c r="E39" s="206"/>
      <c r="F39" s="32"/>
      <c r="G39" s="32"/>
      <c r="H39" s="36"/>
      <c r="I39" s="32"/>
      <c r="J39" s="32"/>
      <c r="K39" s="211"/>
      <c r="L39" s="211"/>
      <c r="M39" s="211"/>
      <c r="N39" s="32"/>
      <c r="O39" s="51">
        <f t="shared" si="6"/>
        <v>0</v>
      </c>
      <c r="P39" s="78">
        <f t="shared" si="7"/>
        <v>0</v>
      </c>
      <c r="Q39" s="273">
        <f t="shared" si="2"/>
        <v>0</v>
      </c>
      <c r="R39" s="270">
        <v>360000</v>
      </c>
      <c r="S39" s="53">
        <f t="shared" si="3"/>
        <v>0</v>
      </c>
      <c r="T39" s="371"/>
      <c r="U39" s="359"/>
    </row>
    <row r="40" spans="1:22" s="31" customFormat="1" ht="15.6" customHeight="1" x14ac:dyDescent="0.3">
      <c r="A40" s="61">
        <f t="shared" si="5"/>
        <v>37</v>
      </c>
      <c r="B40" s="116" t="s">
        <v>233</v>
      </c>
      <c r="C40" s="116"/>
      <c r="D40" s="117" t="s">
        <v>5</v>
      </c>
      <c r="E40" s="206" t="s">
        <v>9</v>
      </c>
      <c r="F40" s="32" t="s">
        <v>9</v>
      </c>
      <c r="G40" s="32" t="s">
        <v>9</v>
      </c>
      <c r="H40" s="36" t="s">
        <v>9</v>
      </c>
      <c r="I40" s="32" t="s">
        <v>9</v>
      </c>
      <c r="J40" s="32" t="s">
        <v>9</v>
      </c>
      <c r="K40" s="211" t="s">
        <v>9</v>
      </c>
      <c r="L40" s="211"/>
      <c r="M40" s="211" t="s">
        <v>9</v>
      </c>
      <c r="N40" s="32" t="s">
        <v>9</v>
      </c>
      <c r="O40" s="51">
        <f t="shared" si="6"/>
        <v>9</v>
      </c>
      <c r="P40" s="78">
        <f t="shared" si="7"/>
        <v>0</v>
      </c>
      <c r="Q40" s="273">
        <f t="shared" si="2"/>
        <v>9</v>
      </c>
      <c r="R40" s="270">
        <v>260000</v>
      </c>
      <c r="S40" s="53">
        <f t="shared" si="3"/>
        <v>2340000</v>
      </c>
      <c r="T40" s="371"/>
      <c r="U40" s="359"/>
    </row>
    <row r="41" spans="1:22" s="31" customFormat="1" x14ac:dyDescent="0.3">
      <c r="A41" s="61">
        <f t="shared" si="5"/>
        <v>38</v>
      </c>
      <c r="B41" s="116" t="s">
        <v>45</v>
      </c>
      <c r="C41" s="116"/>
      <c r="D41" s="117" t="s">
        <v>4</v>
      </c>
      <c r="E41" s="206"/>
      <c r="F41" s="32"/>
      <c r="G41" s="32"/>
      <c r="H41" s="36"/>
      <c r="I41" s="32"/>
      <c r="J41" s="32"/>
      <c r="K41" s="211"/>
      <c r="L41" s="211"/>
      <c r="M41" s="211"/>
      <c r="N41" s="32"/>
      <c r="O41" s="51">
        <f t="shared" si="6"/>
        <v>0</v>
      </c>
      <c r="P41" s="78">
        <f t="shared" si="7"/>
        <v>0</v>
      </c>
      <c r="Q41" s="273">
        <f t="shared" si="2"/>
        <v>0</v>
      </c>
      <c r="R41" s="270">
        <v>370000</v>
      </c>
      <c r="S41" s="53">
        <f t="shared" si="3"/>
        <v>0</v>
      </c>
      <c r="T41" s="371"/>
      <c r="U41" s="359"/>
    </row>
    <row r="42" spans="1:22" s="31" customFormat="1" x14ac:dyDescent="0.3">
      <c r="A42" s="61">
        <f t="shared" si="5"/>
        <v>39</v>
      </c>
      <c r="B42" s="116" t="s">
        <v>236</v>
      </c>
      <c r="C42" s="116"/>
      <c r="D42" s="117" t="s">
        <v>5</v>
      </c>
      <c r="E42" s="206"/>
      <c r="F42" s="32"/>
      <c r="G42" s="32"/>
      <c r="H42" s="36"/>
      <c r="I42" s="32"/>
      <c r="J42" s="32"/>
      <c r="K42" s="211"/>
      <c r="L42" s="211"/>
      <c r="M42" s="211"/>
      <c r="N42" s="32"/>
      <c r="O42" s="51">
        <f t="shared" si="6"/>
        <v>0</v>
      </c>
      <c r="P42" s="78">
        <f t="shared" si="7"/>
        <v>0</v>
      </c>
      <c r="Q42" s="273">
        <f t="shared" si="2"/>
        <v>0</v>
      </c>
      <c r="R42" s="270">
        <v>270000</v>
      </c>
      <c r="S42" s="53">
        <f t="shared" si="3"/>
        <v>0</v>
      </c>
      <c r="T42" s="371"/>
      <c r="U42" s="359"/>
    </row>
    <row r="43" spans="1:22" s="55" customFormat="1" ht="15.6" customHeight="1" x14ac:dyDescent="0.3">
      <c r="A43" s="294">
        <f t="shared" si="5"/>
        <v>40</v>
      </c>
      <c r="B43" s="159" t="s">
        <v>235</v>
      </c>
      <c r="C43" s="159"/>
      <c r="D43" s="160" t="s">
        <v>4</v>
      </c>
      <c r="E43" s="206" t="s">
        <v>9</v>
      </c>
      <c r="F43" s="32" t="s">
        <v>9</v>
      </c>
      <c r="G43" s="32" t="s">
        <v>9</v>
      </c>
      <c r="H43" s="36" t="s">
        <v>9</v>
      </c>
      <c r="I43" s="32" t="s">
        <v>9</v>
      </c>
      <c r="J43" s="32" t="s">
        <v>9</v>
      </c>
      <c r="K43" s="211" t="s">
        <v>9</v>
      </c>
      <c r="L43" s="211" t="s">
        <v>9</v>
      </c>
      <c r="M43" s="211" t="s">
        <v>9</v>
      </c>
      <c r="N43" s="32" t="s">
        <v>9</v>
      </c>
      <c r="O43" s="51">
        <f t="shared" si="6"/>
        <v>10</v>
      </c>
      <c r="P43" s="78">
        <f t="shared" si="7"/>
        <v>0</v>
      </c>
      <c r="Q43" s="273">
        <f t="shared" si="2"/>
        <v>10</v>
      </c>
      <c r="R43" s="270">
        <v>370000</v>
      </c>
      <c r="S43" s="53">
        <f>Q43*R43</f>
        <v>3700000</v>
      </c>
      <c r="T43" s="371"/>
      <c r="U43" s="362"/>
      <c r="V43" s="295"/>
    </row>
    <row r="44" spans="1:22" s="31" customFormat="1" ht="15.6" customHeight="1" x14ac:dyDescent="0.3">
      <c r="A44" s="61">
        <f t="shared" si="5"/>
        <v>41</v>
      </c>
      <c r="B44" s="116" t="s">
        <v>237</v>
      </c>
      <c r="C44" s="116"/>
      <c r="D44" s="117" t="s">
        <v>5</v>
      </c>
      <c r="E44" s="206" t="s">
        <v>9</v>
      </c>
      <c r="F44" s="32" t="s">
        <v>9</v>
      </c>
      <c r="G44" s="32" t="s">
        <v>9</v>
      </c>
      <c r="H44" s="36" t="s">
        <v>9</v>
      </c>
      <c r="I44" s="32" t="s">
        <v>9</v>
      </c>
      <c r="J44" s="32" t="s">
        <v>9</v>
      </c>
      <c r="K44" s="211" t="s">
        <v>9</v>
      </c>
      <c r="L44" s="211" t="s">
        <v>9</v>
      </c>
      <c r="M44" s="211" t="s">
        <v>9</v>
      </c>
      <c r="N44" s="32" t="s">
        <v>9</v>
      </c>
      <c r="O44" s="51">
        <f t="shared" si="6"/>
        <v>10</v>
      </c>
      <c r="P44" s="78">
        <f t="shared" si="7"/>
        <v>0</v>
      </c>
      <c r="Q44" s="273">
        <f t="shared" si="2"/>
        <v>10</v>
      </c>
      <c r="R44" s="270">
        <v>270000</v>
      </c>
      <c r="S44" s="53">
        <f t="shared" si="3"/>
        <v>2700000</v>
      </c>
      <c r="T44" s="371"/>
      <c r="U44" s="359"/>
    </row>
    <row r="45" spans="1:22" s="31" customFormat="1" x14ac:dyDescent="0.3">
      <c r="A45" s="61">
        <f t="shared" si="5"/>
        <v>42</v>
      </c>
      <c r="B45" s="116" t="s">
        <v>238</v>
      </c>
      <c r="C45" s="116"/>
      <c r="D45" s="117" t="s">
        <v>5</v>
      </c>
      <c r="E45" s="206"/>
      <c r="F45" s="32"/>
      <c r="G45" s="32"/>
      <c r="H45" s="32"/>
      <c r="I45" s="36"/>
      <c r="J45" s="32"/>
      <c r="K45" s="211"/>
      <c r="L45" s="211"/>
      <c r="M45" s="211"/>
      <c r="N45" s="32"/>
      <c r="O45" s="51">
        <f t="shared" si="6"/>
        <v>0</v>
      </c>
      <c r="P45" s="78">
        <f t="shared" si="7"/>
        <v>0</v>
      </c>
      <c r="Q45" s="273">
        <f t="shared" si="2"/>
        <v>0</v>
      </c>
      <c r="R45" s="270">
        <v>270000</v>
      </c>
      <c r="S45" s="53">
        <f t="shared" si="3"/>
        <v>0</v>
      </c>
      <c r="T45" s="371"/>
      <c r="U45" s="359"/>
    </row>
    <row r="46" spans="1:22" s="31" customFormat="1" x14ac:dyDescent="0.3">
      <c r="A46" s="61">
        <f t="shared" si="5"/>
        <v>43</v>
      </c>
      <c r="B46" s="48" t="s">
        <v>239</v>
      </c>
      <c r="C46" s="48"/>
      <c r="D46" s="91" t="s">
        <v>5</v>
      </c>
      <c r="E46" s="203"/>
      <c r="F46" s="21"/>
      <c r="G46" s="21"/>
      <c r="H46" s="35"/>
      <c r="I46" s="21"/>
      <c r="J46" s="21"/>
      <c r="K46" s="210"/>
      <c r="L46" s="210"/>
      <c r="M46" s="210"/>
      <c r="N46" s="21"/>
      <c r="O46" s="51">
        <f t="shared" si="6"/>
        <v>0</v>
      </c>
      <c r="P46" s="78">
        <f t="shared" si="7"/>
        <v>0</v>
      </c>
      <c r="Q46" s="273">
        <f t="shared" si="2"/>
        <v>0</v>
      </c>
      <c r="R46" s="270">
        <v>270000</v>
      </c>
      <c r="S46" s="53">
        <f t="shared" si="3"/>
        <v>0</v>
      </c>
      <c r="T46" s="371"/>
      <c r="U46" s="359"/>
    </row>
    <row r="47" spans="1:22" s="55" customFormat="1" ht="15.6" customHeight="1" x14ac:dyDescent="0.3">
      <c r="A47" s="294">
        <f t="shared" si="5"/>
        <v>44</v>
      </c>
      <c r="B47" s="159" t="s">
        <v>240</v>
      </c>
      <c r="C47" s="159"/>
      <c r="D47" s="160" t="s">
        <v>4</v>
      </c>
      <c r="E47" s="206"/>
      <c r="F47" s="32" t="s">
        <v>9</v>
      </c>
      <c r="G47" s="32" t="s">
        <v>9</v>
      </c>
      <c r="H47" s="36" t="s">
        <v>8</v>
      </c>
      <c r="I47" s="32"/>
      <c r="J47" s="32"/>
      <c r="K47" s="211"/>
      <c r="L47" s="211"/>
      <c r="M47" s="211"/>
      <c r="N47" s="32"/>
      <c r="O47" s="51">
        <f t="shared" si="6"/>
        <v>2</v>
      </c>
      <c r="P47" s="78">
        <f t="shared" si="7"/>
        <v>0.5</v>
      </c>
      <c r="Q47" s="273">
        <f t="shared" si="2"/>
        <v>2.5</v>
      </c>
      <c r="R47" s="270">
        <v>370000</v>
      </c>
      <c r="S47" s="53">
        <f>Q47*R47</f>
        <v>925000</v>
      </c>
      <c r="T47" s="371"/>
      <c r="U47" s="362"/>
      <c r="V47" s="295"/>
    </row>
    <row r="48" spans="1:22" s="31" customFormat="1" ht="15.6" customHeight="1" x14ac:dyDescent="0.3">
      <c r="A48" s="61">
        <f t="shared" si="5"/>
        <v>45</v>
      </c>
      <c r="B48" s="116" t="s">
        <v>241</v>
      </c>
      <c r="C48" s="116"/>
      <c r="D48" s="117" t="s">
        <v>4</v>
      </c>
      <c r="E48" s="206"/>
      <c r="F48" s="32"/>
      <c r="G48" s="32"/>
      <c r="H48" s="36"/>
      <c r="I48" s="32"/>
      <c r="J48" s="32"/>
      <c r="K48" s="211"/>
      <c r="L48" s="211"/>
      <c r="M48" s="211"/>
      <c r="N48" s="32"/>
      <c r="O48" s="51">
        <f t="shared" si="6"/>
        <v>0</v>
      </c>
      <c r="P48" s="78">
        <f t="shared" si="7"/>
        <v>0</v>
      </c>
      <c r="Q48" s="273">
        <f t="shared" si="2"/>
        <v>0</v>
      </c>
      <c r="R48" s="270">
        <v>360000</v>
      </c>
      <c r="S48" s="53">
        <f t="shared" si="3"/>
        <v>0</v>
      </c>
      <c r="T48" s="371"/>
      <c r="U48" s="359"/>
    </row>
    <row r="49" spans="1:22" s="31" customFormat="1" ht="15.6" customHeight="1" x14ac:dyDescent="0.3">
      <c r="A49" s="61">
        <f t="shared" si="5"/>
        <v>46</v>
      </c>
      <c r="B49" s="116" t="s">
        <v>242</v>
      </c>
      <c r="C49" s="116"/>
      <c r="D49" s="117" t="s">
        <v>5</v>
      </c>
      <c r="E49" s="206" t="s">
        <v>9</v>
      </c>
      <c r="F49" s="32" t="s">
        <v>9</v>
      </c>
      <c r="G49" s="32" t="s">
        <v>9</v>
      </c>
      <c r="H49" s="36" t="s">
        <v>9</v>
      </c>
      <c r="I49" s="32" t="s">
        <v>9</v>
      </c>
      <c r="J49" s="32" t="s">
        <v>9</v>
      </c>
      <c r="K49" s="211" t="s">
        <v>9</v>
      </c>
      <c r="L49" s="211" t="s">
        <v>9</v>
      </c>
      <c r="M49" s="211" t="s">
        <v>9</v>
      </c>
      <c r="N49" s="32" t="s">
        <v>9</v>
      </c>
      <c r="O49" s="51">
        <f t="shared" si="6"/>
        <v>10</v>
      </c>
      <c r="P49" s="78">
        <f t="shared" si="7"/>
        <v>0</v>
      </c>
      <c r="Q49" s="273">
        <f t="shared" si="2"/>
        <v>10</v>
      </c>
      <c r="R49" s="270">
        <v>270000</v>
      </c>
      <c r="S49" s="53">
        <f t="shared" si="3"/>
        <v>2700000</v>
      </c>
      <c r="T49" s="371"/>
      <c r="U49" s="359"/>
    </row>
    <row r="50" spans="1:22" s="31" customFormat="1" x14ac:dyDescent="0.3">
      <c r="A50" s="61">
        <f t="shared" si="5"/>
        <v>47</v>
      </c>
      <c r="B50" s="48" t="s">
        <v>243</v>
      </c>
      <c r="C50" s="48"/>
      <c r="D50" s="91" t="s">
        <v>5</v>
      </c>
      <c r="E50" s="203"/>
      <c r="F50" s="32"/>
      <c r="G50" s="32"/>
      <c r="H50" s="36"/>
      <c r="I50" s="32"/>
      <c r="J50" s="32"/>
      <c r="K50" s="211"/>
      <c r="L50" s="211"/>
      <c r="M50" s="211"/>
      <c r="N50" s="32"/>
      <c r="O50" s="51">
        <f t="shared" si="6"/>
        <v>0</v>
      </c>
      <c r="P50" s="78">
        <f t="shared" si="7"/>
        <v>0</v>
      </c>
      <c r="Q50" s="273">
        <f t="shared" si="2"/>
        <v>0</v>
      </c>
      <c r="R50" s="270">
        <v>270000</v>
      </c>
      <c r="S50" s="53">
        <f t="shared" si="3"/>
        <v>0</v>
      </c>
      <c r="T50" s="371"/>
      <c r="U50" s="359"/>
    </row>
    <row r="51" spans="1:22" s="31" customFormat="1" x14ac:dyDescent="0.3">
      <c r="A51" s="61">
        <f t="shared" si="5"/>
        <v>48</v>
      </c>
      <c r="B51" s="116" t="s">
        <v>287</v>
      </c>
      <c r="C51" s="116"/>
      <c r="D51" s="117" t="s">
        <v>4</v>
      </c>
      <c r="E51" s="206"/>
      <c r="F51" s="32"/>
      <c r="G51" s="32"/>
      <c r="H51" s="36"/>
      <c r="I51" s="32"/>
      <c r="J51" s="32"/>
      <c r="K51" s="211"/>
      <c r="L51" s="211"/>
      <c r="M51" s="211"/>
      <c r="N51" s="32"/>
      <c r="O51" s="51">
        <f t="shared" si="6"/>
        <v>0</v>
      </c>
      <c r="P51" s="78">
        <f t="shared" si="7"/>
        <v>0</v>
      </c>
      <c r="Q51" s="273">
        <f t="shared" si="2"/>
        <v>0</v>
      </c>
      <c r="R51" s="270">
        <v>360000</v>
      </c>
      <c r="S51" s="53">
        <f t="shared" si="3"/>
        <v>0</v>
      </c>
      <c r="T51" s="371"/>
      <c r="U51" s="359"/>
    </row>
    <row r="52" spans="1:22" s="31" customFormat="1" x14ac:dyDescent="0.3">
      <c r="A52" s="61">
        <f t="shared" si="5"/>
        <v>49</v>
      </c>
      <c r="B52" s="116" t="s">
        <v>289</v>
      </c>
      <c r="C52" s="116"/>
      <c r="D52" s="117" t="s">
        <v>4</v>
      </c>
      <c r="E52" s="206"/>
      <c r="F52" s="32"/>
      <c r="G52" s="32"/>
      <c r="H52" s="36"/>
      <c r="I52" s="32"/>
      <c r="J52" s="32"/>
      <c r="K52" s="211"/>
      <c r="L52" s="211"/>
      <c r="M52" s="211"/>
      <c r="N52" s="32"/>
      <c r="O52" s="51">
        <f t="shared" si="6"/>
        <v>0</v>
      </c>
      <c r="P52" s="78">
        <f t="shared" si="7"/>
        <v>0</v>
      </c>
      <c r="Q52" s="273">
        <f t="shared" si="2"/>
        <v>0</v>
      </c>
      <c r="R52" s="270">
        <v>360000</v>
      </c>
      <c r="S52" s="53">
        <f t="shared" si="3"/>
        <v>0</v>
      </c>
      <c r="T52" s="371"/>
      <c r="U52" s="359"/>
    </row>
    <row r="53" spans="1:22" s="31" customFormat="1" x14ac:dyDescent="0.3">
      <c r="A53" s="61">
        <f t="shared" si="5"/>
        <v>50</v>
      </c>
      <c r="B53" s="116" t="s">
        <v>290</v>
      </c>
      <c r="C53" s="116"/>
      <c r="D53" s="117" t="s">
        <v>5</v>
      </c>
      <c r="E53" s="206"/>
      <c r="F53" s="32"/>
      <c r="G53" s="32"/>
      <c r="H53" s="36"/>
      <c r="I53" s="32"/>
      <c r="J53" s="32"/>
      <c r="K53" s="211"/>
      <c r="L53" s="211"/>
      <c r="M53" s="211"/>
      <c r="N53" s="32"/>
      <c r="O53" s="51">
        <f t="shared" si="6"/>
        <v>0</v>
      </c>
      <c r="P53" s="78">
        <f t="shared" si="7"/>
        <v>0</v>
      </c>
      <c r="Q53" s="273">
        <f t="shared" si="2"/>
        <v>0</v>
      </c>
      <c r="R53" s="270">
        <v>270000</v>
      </c>
      <c r="S53" s="53">
        <f t="shared" si="3"/>
        <v>0</v>
      </c>
      <c r="T53" s="371"/>
      <c r="U53" s="359"/>
    </row>
    <row r="54" spans="1:22" s="55" customFormat="1" ht="15.6" customHeight="1" x14ac:dyDescent="0.3">
      <c r="A54" s="294">
        <f t="shared" si="5"/>
        <v>51</v>
      </c>
      <c r="B54" s="159" t="s">
        <v>288</v>
      </c>
      <c r="C54" s="159"/>
      <c r="D54" s="160" t="s">
        <v>5</v>
      </c>
      <c r="E54" s="206"/>
      <c r="F54" s="32"/>
      <c r="G54" s="32"/>
      <c r="H54" s="36"/>
      <c r="I54" s="32"/>
      <c r="J54" s="32"/>
      <c r="K54" s="211"/>
      <c r="L54" s="211"/>
      <c r="M54" s="211"/>
      <c r="N54" s="32"/>
      <c r="O54" s="51">
        <f t="shared" si="6"/>
        <v>0</v>
      </c>
      <c r="P54" s="78">
        <f t="shared" si="7"/>
        <v>0</v>
      </c>
      <c r="Q54" s="273">
        <f t="shared" si="2"/>
        <v>0</v>
      </c>
      <c r="R54" s="270">
        <v>270000</v>
      </c>
      <c r="S54" s="53">
        <f t="shared" si="3"/>
        <v>0</v>
      </c>
      <c r="T54" s="371"/>
      <c r="U54" s="362"/>
    </row>
    <row r="55" spans="1:22" s="31" customFormat="1" x14ac:dyDescent="0.3">
      <c r="A55" s="61">
        <f t="shared" si="5"/>
        <v>52</v>
      </c>
      <c r="B55" s="116" t="s">
        <v>291</v>
      </c>
      <c r="C55" s="116"/>
      <c r="D55" s="117" t="s">
        <v>5</v>
      </c>
      <c r="E55" s="206"/>
      <c r="F55" s="32"/>
      <c r="G55" s="32"/>
      <c r="H55" s="36"/>
      <c r="I55" s="32"/>
      <c r="J55" s="32"/>
      <c r="K55" s="211"/>
      <c r="L55" s="211"/>
      <c r="M55" s="211"/>
      <c r="N55" s="32"/>
      <c r="O55" s="51">
        <f t="shared" si="6"/>
        <v>0</v>
      </c>
      <c r="P55" s="78">
        <f t="shared" si="7"/>
        <v>0</v>
      </c>
      <c r="Q55" s="273">
        <f t="shared" si="2"/>
        <v>0</v>
      </c>
      <c r="R55" s="270">
        <v>270000</v>
      </c>
      <c r="S55" s="53">
        <f>Q55*R55</f>
        <v>0</v>
      </c>
      <c r="T55" s="371"/>
      <c r="U55" s="359"/>
    </row>
    <row r="56" spans="1:22" s="55" customFormat="1" ht="15.6" customHeight="1" x14ac:dyDescent="0.3">
      <c r="A56" s="294">
        <f t="shared" si="5"/>
        <v>53</v>
      </c>
      <c r="B56" s="159" t="s">
        <v>295</v>
      </c>
      <c r="C56" s="159"/>
      <c r="D56" s="160" t="s">
        <v>5</v>
      </c>
      <c r="E56" s="206"/>
      <c r="F56" s="32"/>
      <c r="G56" s="32"/>
      <c r="H56" s="36"/>
      <c r="I56" s="32"/>
      <c r="J56" s="32"/>
      <c r="K56" s="211"/>
      <c r="L56" s="211"/>
      <c r="M56" s="211"/>
      <c r="N56" s="32"/>
      <c r="O56" s="51">
        <f t="shared" si="6"/>
        <v>0</v>
      </c>
      <c r="P56" s="78">
        <f t="shared" si="7"/>
        <v>0</v>
      </c>
      <c r="Q56" s="273">
        <f t="shared" si="2"/>
        <v>0</v>
      </c>
      <c r="R56" s="270">
        <v>280000</v>
      </c>
      <c r="S56" s="53">
        <f>Q56*R56</f>
        <v>0</v>
      </c>
      <c r="T56" s="371"/>
      <c r="U56" s="362"/>
      <c r="V56" s="295"/>
    </row>
    <row r="57" spans="1:22" s="31" customFormat="1" x14ac:dyDescent="0.3">
      <c r="A57" s="61">
        <f t="shared" si="5"/>
        <v>54</v>
      </c>
      <c r="B57" s="116" t="s">
        <v>296</v>
      </c>
      <c r="C57" s="116"/>
      <c r="D57" s="117" t="s">
        <v>5</v>
      </c>
      <c r="E57" s="206"/>
      <c r="F57" s="32"/>
      <c r="G57" s="32"/>
      <c r="H57" s="36"/>
      <c r="I57" s="32"/>
      <c r="J57" s="32"/>
      <c r="K57" s="211"/>
      <c r="L57" s="211"/>
      <c r="M57" s="211"/>
      <c r="N57" s="32"/>
      <c r="O57" s="51">
        <f t="shared" si="6"/>
        <v>0</v>
      </c>
      <c r="P57" s="78">
        <f t="shared" si="7"/>
        <v>0</v>
      </c>
      <c r="Q57" s="273">
        <f t="shared" si="2"/>
        <v>0</v>
      </c>
      <c r="R57" s="270">
        <v>270000</v>
      </c>
      <c r="S57" s="53">
        <f t="shared" si="3"/>
        <v>0</v>
      </c>
      <c r="T57" s="371"/>
      <c r="U57" s="359"/>
    </row>
    <row r="58" spans="1:22" s="31" customFormat="1" x14ac:dyDescent="0.3">
      <c r="A58" s="61">
        <f t="shared" si="5"/>
        <v>55</v>
      </c>
      <c r="B58" s="116" t="s">
        <v>297</v>
      </c>
      <c r="C58" s="116"/>
      <c r="D58" s="117" t="s">
        <v>4</v>
      </c>
      <c r="E58" s="206"/>
      <c r="F58" s="32"/>
      <c r="G58" s="32"/>
      <c r="H58" s="36"/>
      <c r="I58" s="32"/>
      <c r="J58" s="32"/>
      <c r="K58" s="211"/>
      <c r="L58" s="211"/>
      <c r="M58" s="211"/>
      <c r="N58" s="32"/>
      <c r="O58" s="51">
        <f t="shared" si="6"/>
        <v>0</v>
      </c>
      <c r="P58" s="78">
        <f t="shared" si="7"/>
        <v>0</v>
      </c>
      <c r="Q58" s="273">
        <f t="shared" si="2"/>
        <v>0</v>
      </c>
      <c r="R58" s="270">
        <v>360000</v>
      </c>
      <c r="S58" s="53">
        <f t="shared" si="3"/>
        <v>0</v>
      </c>
      <c r="T58" s="371"/>
      <c r="U58" s="359"/>
    </row>
    <row r="59" spans="1:22" s="31" customFormat="1" x14ac:dyDescent="0.3">
      <c r="A59" s="61">
        <f t="shared" si="5"/>
        <v>56</v>
      </c>
      <c r="B59" s="116" t="s">
        <v>298</v>
      </c>
      <c r="C59" s="116"/>
      <c r="D59" s="117" t="s">
        <v>5</v>
      </c>
      <c r="E59" s="206"/>
      <c r="F59" s="32"/>
      <c r="G59" s="32"/>
      <c r="H59" s="36"/>
      <c r="I59" s="32"/>
      <c r="J59" s="32"/>
      <c r="K59" s="211"/>
      <c r="L59" s="211"/>
      <c r="M59" s="211"/>
      <c r="N59" s="32"/>
      <c r="O59" s="51">
        <f t="shared" si="6"/>
        <v>0</v>
      </c>
      <c r="P59" s="78">
        <f t="shared" si="7"/>
        <v>0</v>
      </c>
      <c r="Q59" s="273">
        <f t="shared" si="2"/>
        <v>0</v>
      </c>
      <c r="R59" s="270">
        <v>270000</v>
      </c>
      <c r="S59" s="53">
        <f t="shared" si="3"/>
        <v>0</v>
      </c>
      <c r="T59" s="371"/>
      <c r="U59" s="359"/>
    </row>
    <row r="60" spans="1:22" s="31" customFormat="1" x14ac:dyDescent="0.3">
      <c r="A60" s="61">
        <f t="shared" si="5"/>
        <v>57</v>
      </c>
      <c r="B60" s="116" t="s">
        <v>356</v>
      </c>
      <c r="C60" s="116"/>
      <c r="D60" s="117" t="s">
        <v>5</v>
      </c>
      <c r="E60" s="206"/>
      <c r="F60" s="32"/>
      <c r="G60" s="32"/>
      <c r="H60" s="36"/>
      <c r="I60" s="32"/>
      <c r="J60" s="32"/>
      <c r="K60" s="211"/>
      <c r="L60" s="211"/>
      <c r="M60" s="211"/>
      <c r="N60" s="32"/>
      <c r="O60" s="51">
        <f t="shared" si="6"/>
        <v>0</v>
      </c>
      <c r="P60" s="78">
        <f t="shared" si="7"/>
        <v>0</v>
      </c>
      <c r="Q60" s="273">
        <f t="shared" si="2"/>
        <v>0</v>
      </c>
      <c r="R60" s="270">
        <v>260000</v>
      </c>
      <c r="S60" s="53">
        <f t="shared" si="3"/>
        <v>0</v>
      </c>
      <c r="T60" s="371"/>
      <c r="U60" s="359"/>
    </row>
    <row r="61" spans="1:22" s="31" customFormat="1" x14ac:dyDescent="0.3">
      <c r="A61" s="61">
        <f t="shared" si="5"/>
        <v>58</v>
      </c>
      <c r="B61" s="116" t="s">
        <v>361</v>
      </c>
      <c r="C61" s="116"/>
      <c r="D61" s="117" t="s">
        <v>4</v>
      </c>
      <c r="E61" s="206"/>
      <c r="F61" s="32"/>
      <c r="G61" s="32"/>
      <c r="H61" s="36"/>
      <c r="I61" s="32"/>
      <c r="J61" s="32"/>
      <c r="K61" s="211"/>
      <c r="L61" s="211"/>
      <c r="M61" s="211"/>
      <c r="N61" s="32"/>
      <c r="O61" s="162">
        <f t="shared" si="6"/>
        <v>0</v>
      </c>
      <c r="P61" s="163">
        <f t="shared" si="7"/>
        <v>0</v>
      </c>
      <c r="Q61" s="273">
        <f t="shared" si="2"/>
        <v>0</v>
      </c>
      <c r="R61" s="270">
        <v>360000</v>
      </c>
      <c r="S61" s="53">
        <f t="shared" si="3"/>
        <v>0</v>
      </c>
      <c r="T61" s="371"/>
      <c r="U61" s="359"/>
    </row>
    <row r="62" spans="1:22" s="31" customFormat="1" x14ac:dyDescent="0.3">
      <c r="A62" s="61">
        <f t="shared" si="5"/>
        <v>59</v>
      </c>
      <c r="B62" s="116" t="s">
        <v>362</v>
      </c>
      <c r="C62" s="116"/>
      <c r="D62" s="117" t="s">
        <v>5</v>
      </c>
      <c r="E62" s="206"/>
      <c r="F62" s="32"/>
      <c r="G62" s="32"/>
      <c r="H62" s="36"/>
      <c r="I62" s="32"/>
      <c r="J62" s="32"/>
      <c r="K62" s="211"/>
      <c r="L62" s="211"/>
      <c r="M62" s="211"/>
      <c r="N62" s="32"/>
      <c r="O62" s="162">
        <f t="shared" si="6"/>
        <v>0</v>
      </c>
      <c r="P62" s="163">
        <f t="shared" si="7"/>
        <v>0</v>
      </c>
      <c r="Q62" s="273">
        <f t="shared" si="2"/>
        <v>0</v>
      </c>
      <c r="R62" s="270">
        <v>260000</v>
      </c>
      <c r="S62" s="53">
        <f t="shared" si="3"/>
        <v>0</v>
      </c>
      <c r="T62" s="371"/>
      <c r="U62" s="359"/>
    </row>
    <row r="63" spans="1:22" s="31" customFormat="1" x14ac:dyDescent="0.3">
      <c r="A63" s="61">
        <f t="shared" si="5"/>
        <v>60</v>
      </c>
      <c r="B63" s="116" t="s">
        <v>363</v>
      </c>
      <c r="C63" s="116"/>
      <c r="D63" s="117" t="s">
        <v>5</v>
      </c>
      <c r="E63" s="206"/>
      <c r="F63" s="32"/>
      <c r="G63" s="32"/>
      <c r="H63" s="36"/>
      <c r="I63" s="32"/>
      <c r="J63" s="32"/>
      <c r="K63" s="211"/>
      <c r="L63" s="211"/>
      <c r="M63" s="211"/>
      <c r="N63" s="32"/>
      <c r="O63" s="162">
        <f t="shared" si="6"/>
        <v>0</v>
      </c>
      <c r="P63" s="163">
        <f t="shared" si="7"/>
        <v>0</v>
      </c>
      <c r="Q63" s="273">
        <f t="shared" si="2"/>
        <v>0</v>
      </c>
      <c r="R63" s="270">
        <v>260000</v>
      </c>
      <c r="S63" s="53">
        <f t="shared" si="3"/>
        <v>0</v>
      </c>
      <c r="T63" s="371"/>
      <c r="U63" s="359"/>
    </row>
    <row r="64" spans="1:22" s="31" customFormat="1" ht="15.6" customHeight="1" x14ac:dyDescent="0.3">
      <c r="A64" s="61">
        <f t="shared" si="5"/>
        <v>61</v>
      </c>
      <c r="B64" s="116" t="s">
        <v>364</v>
      </c>
      <c r="C64" s="116"/>
      <c r="D64" s="117" t="s">
        <v>4</v>
      </c>
      <c r="E64" s="206" t="s">
        <v>9</v>
      </c>
      <c r="F64" s="32" t="s">
        <v>9</v>
      </c>
      <c r="G64" s="32" t="s">
        <v>9</v>
      </c>
      <c r="H64" s="36" t="s">
        <v>9</v>
      </c>
      <c r="I64" s="32" t="s">
        <v>9</v>
      </c>
      <c r="J64" s="32" t="s">
        <v>9</v>
      </c>
      <c r="K64" s="211" t="s">
        <v>9</v>
      </c>
      <c r="L64" s="211" t="s">
        <v>9</v>
      </c>
      <c r="M64" s="211" t="s">
        <v>9</v>
      </c>
      <c r="N64" s="32" t="s">
        <v>9</v>
      </c>
      <c r="O64" s="162">
        <f t="shared" si="6"/>
        <v>10</v>
      </c>
      <c r="P64" s="163">
        <f t="shared" si="7"/>
        <v>0</v>
      </c>
      <c r="Q64" s="273">
        <f t="shared" si="2"/>
        <v>10</v>
      </c>
      <c r="R64" s="270">
        <v>370000</v>
      </c>
      <c r="S64" s="53">
        <f t="shared" si="3"/>
        <v>3700000</v>
      </c>
      <c r="T64" s="371"/>
      <c r="U64" s="359"/>
    </row>
    <row r="65" spans="1:21" s="31" customFormat="1" x14ac:dyDescent="0.3">
      <c r="A65" s="61">
        <f t="shared" si="5"/>
        <v>62</v>
      </c>
      <c r="B65" s="116" t="s">
        <v>365</v>
      </c>
      <c r="C65" s="116"/>
      <c r="D65" s="117" t="s">
        <v>5</v>
      </c>
      <c r="E65" s="206"/>
      <c r="F65" s="32"/>
      <c r="G65" s="32"/>
      <c r="H65" s="36"/>
      <c r="I65" s="32"/>
      <c r="J65" s="32"/>
      <c r="K65" s="211"/>
      <c r="L65" s="211"/>
      <c r="M65" s="211"/>
      <c r="N65" s="32"/>
      <c r="O65" s="162">
        <f t="shared" si="6"/>
        <v>0</v>
      </c>
      <c r="P65" s="163">
        <f t="shared" si="7"/>
        <v>0</v>
      </c>
      <c r="Q65" s="273">
        <f t="shared" si="2"/>
        <v>0</v>
      </c>
      <c r="R65" s="270">
        <v>260000</v>
      </c>
      <c r="S65" s="53">
        <f t="shared" si="3"/>
        <v>0</v>
      </c>
      <c r="T65" s="371"/>
      <c r="U65" s="359"/>
    </row>
    <row r="66" spans="1:21" s="31" customFormat="1" x14ac:dyDescent="0.3">
      <c r="A66" s="61">
        <f t="shared" si="5"/>
        <v>63</v>
      </c>
      <c r="B66" s="116" t="s">
        <v>366</v>
      </c>
      <c r="C66" s="116"/>
      <c r="D66" s="117" t="s">
        <v>4</v>
      </c>
      <c r="E66" s="206" t="s">
        <v>9</v>
      </c>
      <c r="F66" s="32" t="s">
        <v>9</v>
      </c>
      <c r="G66" s="32" t="s">
        <v>9</v>
      </c>
      <c r="H66" s="36" t="s">
        <v>9</v>
      </c>
      <c r="I66" s="32" t="s">
        <v>9</v>
      </c>
      <c r="J66" s="32" t="s">
        <v>9</v>
      </c>
      <c r="K66" s="211" t="s">
        <v>9</v>
      </c>
      <c r="L66" s="211" t="s">
        <v>9</v>
      </c>
      <c r="M66" s="211" t="s">
        <v>9</v>
      </c>
      <c r="N66" s="32" t="s">
        <v>9</v>
      </c>
      <c r="O66" s="162">
        <f t="shared" si="6"/>
        <v>10</v>
      </c>
      <c r="P66" s="163">
        <f t="shared" si="7"/>
        <v>0</v>
      </c>
      <c r="Q66" s="273">
        <f t="shared" si="2"/>
        <v>10</v>
      </c>
      <c r="R66" s="270">
        <v>360000</v>
      </c>
      <c r="S66" s="53">
        <f t="shared" si="3"/>
        <v>3600000</v>
      </c>
      <c r="T66" s="371"/>
      <c r="U66" s="359"/>
    </row>
    <row r="67" spans="1:21" s="31" customFormat="1" x14ac:dyDescent="0.3">
      <c r="A67" s="61">
        <f t="shared" si="5"/>
        <v>64</v>
      </c>
      <c r="B67" s="116" t="s">
        <v>367</v>
      </c>
      <c r="C67" s="116"/>
      <c r="D67" s="117" t="s">
        <v>5</v>
      </c>
      <c r="E67" s="206"/>
      <c r="F67" s="32"/>
      <c r="G67" s="32"/>
      <c r="H67" s="36"/>
      <c r="I67" s="32"/>
      <c r="J67" s="32"/>
      <c r="K67" s="211"/>
      <c r="L67" s="211"/>
      <c r="M67" s="211"/>
      <c r="N67" s="32"/>
      <c r="O67" s="162">
        <f t="shared" si="6"/>
        <v>0</v>
      </c>
      <c r="P67" s="163">
        <f t="shared" si="7"/>
        <v>0</v>
      </c>
      <c r="Q67" s="273">
        <f t="shared" si="2"/>
        <v>0</v>
      </c>
      <c r="R67" s="270">
        <v>260000</v>
      </c>
      <c r="S67" s="53">
        <f t="shared" si="3"/>
        <v>0</v>
      </c>
      <c r="T67" s="371"/>
      <c r="U67" s="359"/>
    </row>
    <row r="68" spans="1:21" s="31" customFormat="1" x14ac:dyDescent="0.3">
      <c r="A68" s="61">
        <f t="shared" si="5"/>
        <v>65</v>
      </c>
      <c r="B68" s="116" t="s">
        <v>368</v>
      </c>
      <c r="C68" s="116"/>
      <c r="D68" s="117" t="s">
        <v>5</v>
      </c>
      <c r="E68" s="206"/>
      <c r="F68" s="32"/>
      <c r="G68" s="32"/>
      <c r="H68" s="36"/>
      <c r="I68" s="32"/>
      <c r="J68" s="32"/>
      <c r="K68" s="211"/>
      <c r="L68" s="211"/>
      <c r="M68" s="211"/>
      <c r="N68" s="32"/>
      <c r="O68" s="162">
        <f t="shared" ref="O68:O83" si="8">COUNTIF(E68:N68,"X")</f>
        <v>0</v>
      </c>
      <c r="P68" s="163">
        <f t="shared" si="7"/>
        <v>0</v>
      </c>
      <c r="Q68" s="273">
        <f t="shared" ref="Q68:Q83" si="9">SUM(O68:P68)</f>
        <v>0</v>
      </c>
      <c r="R68" s="270">
        <v>260000</v>
      </c>
      <c r="S68" s="53">
        <f t="shared" ref="S68:S83" si="10">Q68*R68</f>
        <v>0</v>
      </c>
      <c r="T68" s="371"/>
      <c r="U68" s="359"/>
    </row>
    <row r="69" spans="1:21" s="31" customFormat="1" x14ac:dyDescent="0.3">
      <c r="A69" s="61">
        <f t="shared" si="5"/>
        <v>66</v>
      </c>
      <c r="B69" s="116" t="s">
        <v>369</v>
      </c>
      <c r="C69" s="116"/>
      <c r="D69" s="117" t="s">
        <v>5</v>
      </c>
      <c r="E69" s="206"/>
      <c r="F69" s="32"/>
      <c r="G69" s="32"/>
      <c r="H69" s="36"/>
      <c r="I69" s="32"/>
      <c r="J69" s="32"/>
      <c r="K69" s="211"/>
      <c r="L69" s="211"/>
      <c r="M69" s="211"/>
      <c r="N69" s="32"/>
      <c r="O69" s="162">
        <f t="shared" si="8"/>
        <v>0</v>
      </c>
      <c r="P69" s="163">
        <f t="shared" ref="P69:P83" si="11">COUNTIF(E69:N69,"X/2")/2</f>
        <v>0</v>
      </c>
      <c r="Q69" s="273">
        <f t="shared" si="9"/>
        <v>0</v>
      </c>
      <c r="R69" s="270">
        <v>270000</v>
      </c>
      <c r="S69" s="53">
        <f t="shared" si="10"/>
        <v>0</v>
      </c>
      <c r="T69" s="371"/>
      <c r="U69" s="359"/>
    </row>
    <row r="70" spans="1:21" s="31" customFormat="1" x14ac:dyDescent="0.3">
      <c r="A70" s="61">
        <f t="shared" si="5"/>
        <v>67</v>
      </c>
      <c r="B70" s="116" t="s">
        <v>371</v>
      </c>
      <c r="C70" s="116"/>
      <c r="D70" s="117" t="s">
        <v>4</v>
      </c>
      <c r="E70" s="206" t="s">
        <v>9</v>
      </c>
      <c r="F70" s="32" t="s">
        <v>9</v>
      </c>
      <c r="G70" s="32" t="s">
        <v>9</v>
      </c>
      <c r="H70" s="36" t="s">
        <v>9</v>
      </c>
      <c r="I70" s="32" t="s">
        <v>9</v>
      </c>
      <c r="J70" s="32" t="s">
        <v>9</v>
      </c>
      <c r="K70" s="211" t="s">
        <v>9</v>
      </c>
      <c r="L70" s="211"/>
      <c r="M70" s="211" t="s">
        <v>9</v>
      </c>
      <c r="N70" s="32" t="s">
        <v>9</v>
      </c>
      <c r="O70" s="162">
        <f t="shared" si="8"/>
        <v>9</v>
      </c>
      <c r="P70" s="163">
        <f t="shared" si="11"/>
        <v>0</v>
      </c>
      <c r="Q70" s="273">
        <f t="shared" si="9"/>
        <v>9</v>
      </c>
      <c r="R70" s="270">
        <v>360000</v>
      </c>
      <c r="S70" s="53">
        <f t="shared" si="10"/>
        <v>3240000</v>
      </c>
      <c r="T70" s="371"/>
      <c r="U70" s="359"/>
    </row>
    <row r="71" spans="1:21" s="31" customFormat="1" x14ac:dyDescent="0.3">
      <c r="A71" s="61">
        <f t="shared" ref="A71:A83" si="12">A70+1</f>
        <v>68</v>
      </c>
      <c r="B71" s="116" t="s">
        <v>372</v>
      </c>
      <c r="C71" s="116"/>
      <c r="D71" s="117" t="s">
        <v>4</v>
      </c>
      <c r="E71" s="206"/>
      <c r="F71" s="32"/>
      <c r="G71" s="32"/>
      <c r="H71" s="36"/>
      <c r="I71" s="32"/>
      <c r="J71" s="32"/>
      <c r="K71" s="211"/>
      <c r="L71" s="211"/>
      <c r="M71" s="211"/>
      <c r="N71" s="32"/>
      <c r="O71" s="162">
        <f t="shared" si="8"/>
        <v>0</v>
      </c>
      <c r="P71" s="163">
        <f t="shared" si="11"/>
        <v>0</v>
      </c>
      <c r="Q71" s="273">
        <f t="shared" si="9"/>
        <v>0</v>
      </c>
      <c r="R71" s="270">
        <v>360000</v>
      </c>
      <c r="S71" s="53">
        <f t="shared" si="10"/>
        <v>0</v>
      </c>
      <c r="T71" s="371"/>
      <c r="U71" s="359"/>
    </row>
    <row r="72" spans="1:21" s="31" customFormat="1" x14ac:dyDescent="0.3">
      <c r="A72" s="61">
        <f t="shared" si="12"/>
        <v>69</v>
      </c>
      <c r="B72" s="116" t="s">
        <v>373</v>
      </c>
      <c r="C72" s="116"/>
      <c r="D72" s="117" t="s">
        <v>5</v>
      </c>
      <c r="E72" s="206"/>
      <c r="F72" s="32"/>
      <c r="G72" s="32"/>
      <c r="H72" s="36"/>
      <c r="I72" s="32"/>
      <c r="J72" s="32"/>
      <c r="K72" s="211"/>
      <c r="L72" s="211"/>
      <c r="M72" s="211"/>
      <c r="N72" s="32"/>
      <c r="O72" s="162">
        <f t="shared" si="8"/>
        <v>0</v>
      </c>
      <c r="P72" s="163">
        <f t="shared" si="11"/>
        <v>0</v>
      </c>
      <c r="Q72" s="273">
        <f t="shared" si="9"/>
        <v>0</v>
      </c>
      <c r="R72" s="270">
        <v>260000</v>
      </c>
      <c r="S72" s="53">
        <f t="shared" si="10"/>
        <v>0</v>
      </c>
      <c r="T72" s="371"/>
      <c r="U72" s="359"/>
    </row>
    <row r="73" spans="1:21" s="31" customFormat="1" x14ac:dyDescent="0.3">
      <c r="A73" s="61">
        <f t="shared" si="12"/>
        <v>70</v>
      </c>
      <c r="B73" s="116" t="s">
        <v>374</v>
      </c>
      <c r="C73" s="116"/>
      <c r="D73" s="117" t="s">
        <v>4</v>
      </c>
      <c r="E73" s="206"/>
      <c r="F73" s="32"/>
      <c r="G73" s="32"/>
      <c r="H73" s="36"/>
      <c r="I73" s="32"/>
      <c r="J73" s="32"/>
      <c r="K73" s="211"/>
      <c r="L73" s="211"/>
      <c r="M73" s="211"/>
      <c r="N73" s="32"/>
      <c r="O73" s="162">
        <f t="shared" si="8"/>
        <v>0</v>
      </c>
      <c r="P73" s="163">
        <f t="shared" si="11"/>
        <v>0</v>
      </c>
      <c r="Q73" s="273">
        <f t="shared" si="9"/>
        <v>0</v>
      </c>
      <c r="R73" s="270">
        <v>360000</v>
      </c>
      <c r="S73" s="53">
        <f t="shared" si="10"/>
        <v>0</v>
      </c>
      <c r="T73" s="371"/>
      <c r="U73" s="359"/>
    </row>
    <row r="74" spans="1:21" s="31" customFormat="1" x14ac:dyDescent="0.3">
      <c r="A74" s="61">
        <f t="shared" si="12"/>
        <v>71</v>
      </c>
      <c r="B74" s="116" t="s">
        <v>375</v>
      </c>
      <c r="C74" s="116"/>
      <c r="D74" s="117" t="s">
        <v>5</v>
      </c>
      <c r="E74" s="206"/>
      <c r="F74" s="32"/>
      <c r="G74" s="32"/>
      <c r="H74" s="36"/>
      <c r="I74" s="32"/>
      <c r="J74" s="32"/>
      <c r="K74" s="211"/>
      <c r="L74" s="211"/>
      <c r="M74" s="211"/>
      <c r="N74" s="32"/>
      <c r="O74" s="162">
        <f t="shared" si="8"/>
        <v>0</v>
      </c>
      <c r="P74" s="163">
        <f t="shared" si="11"/>
        <v>0</v>
      </c>
      <c r="Q74" s="273">
        <f t="shared" si="9"/>
        <v>0</v>
      </c>
      <c r="R74" s="270">
        <v>260000</v>
      </c>
      <c r="S74" s="53">
        <f t="shared" si="10"/>
        <v>0</v>
      </c>
      <c r="T74" s="371"/>
      <c r="U74" s="359"/>
    </row>
    <row r="75" spans="1:21" s="31" customFormat="1" x14ac:dyDescent="0.3">
      <c r="A75" s="61">
        <f t="shared" si="12"/>
        <v>72</v>
      </c>
      <c r="B75" s="159" t="s">
        <v>376</v>
      </c>
      <c r="C75" s="159"/>
      <c r="D75" s="160" t="s">
        <v>5</v>
      </c>
      <c r="E75" s="206"/>
      <c r="F75" s="32"/>
      <c r="G75" s="32"/>
      <c r="H75" s="36"/>
      <c r="I75" s="227"/>
      <c r="J75" s="227"/>
      <c r="K75" s="229"/>
      <c r="L75" s="229"/>
      <c r="M75" s="229"/>
      <c r="N75" s="227"/>
      <c r="O75" s="162">
        <f t="shared" si="8"/>
        <v>0</v>
      </c>
      <c r="P75" s="163">
        <f t="shared" si="11"/>
        <v>0</v>
      </c>
      <c r="Q75" s="273">
        <f t="shared" si="9"/>
        <v>0</v>
      </c>
      <c r="R75" s="270">
        <v>260000</v>
      </c>
      <c r="S75" s="53">
        <f t="shared" si="10"/>
        <v>0</v>
      </c>
      <c r="T75" s="354"/>
      <c r="U75" s="364"/>
    </row>
    <row r="76" spans="1:21" s="55" customFormat="1" x14ac:dyDescent="0.3">
      <c r="A76" s="61">
        <f t="shared" si="12"/>
        <v>73</v>
      </c>
      <c r="B76" s="29" t="s">
        <v>387</v>
      </c>
      <c r="C76" s="29"/>
      <c r="D76" s="25" t="s">
        <v>5</v>
      </c>
      <c r="E76" s="35"/>
      <c r="F76" s="21"/>
      <c r="G76" s="21"/>
      <c r="H76" s="21"/>
      <c r="I76" s="21"/>
      <c r="J76" s="21"/>
      <c r="K76" s="21"/>
      <c r="L76" s="21"/>
      <c r="M76" s="21"/>
      <c r="N76" s="21"/>
      <c r="O76" s="51">
        <f t="shared" si="8"/>
        <v>0</v>
      </c>
      <c r="P76" s="78">
        <f t="shared" si="11"/>
        <v>0</v>
      </c>
      <c r="Q76" s="273">
        <f>SUM(O76:P76)</f>
        <v>0</v>
      </c>
      <c r="R76" s="269">
        <v>270000</v>
      </c>
      <c r="S76" s="52">
        <f>Q76*R76</f>
        <v>0</v>
      </c>
      <c r="T76" s="372"/>
      <c r="U76" s="365"/>
    </row>
    <row r="77" spans="1:21" s="55" customFormat="1" x14ac:dyDescent="0.3">
      <c r="A77" s="294">
        <f>A76+1</f>
        <v>74</v>
      </c>
      <c r="B77" s="29" t="s">
        <v>394</v>
      </c>
      <c r="C77" s="29"/>
      <c r="D77" s="25" t="s">
        <v>4</v>
      </c>
      <c r="E77" s="35"/>
      <c r="F77" s="21"/>
      <c r="G77" s="21"/>
      <c r="H77" s="21"/>
      <c r="I77" s="21"/>
      <c r="J77" s="21"/>
      <c r="K77" s="21"/>
      <c r="L77" s="21"/>
      <c r="M77" s="21"/>
      <c r="N77" s="21"/>
      <c r="O77" s="162">
        <f t="shared" si="8"/>
        <v>0</v>
      </c>
      <c r="P77" s="163">
        <f t="shared" si="11"/>
        <v>0</v>
      </c>
      <c r="Q77" s="273">
        <f t="shared" si="9"/>
        <v>0</v>
      </c>
      <c r="R77" s="269">
        <v>400000</v>
      </c>
      <c r="S77" s="53">
        <f t="shared" si="10"/>
        <v>0</v>
      </c>
      <c r="T77" s="371"/>
      <c r="U77" s="364"/>
    </row>
    <row r="78" spans="1:21" s="55" customFormat="1" x14ac:dyDescent="0.3">
      <c r="A78" s="61">
        <f t="shared" si="12"/>
        <v>75</v>
      </c>
      <c r="B78" s="29" t="s">
        <v>388</v>
      </c>
      <c r="C78" s="29"/>
      <c r="D78" s="25" t="s">
        <v>5</v>
      </c>
      <c r="E78" s="35" t="s">
        <v>9</v>
      </c>
      <c r="F78" s="21" t="s">
        <v>9</v>
      </c>
      <c r="G78" s="21" t="s">
        <v>9</v>
      </c>
      <c r="H78" s="21" t="s">
        <v>9</v>
      </c>
      <c r="I78" s="21" t="s">
        <v>9</v>
      </c>
      <c r="J78" s="21" t="s">
        <v>9</v>
      </c>
      <c r="K78" s="21"/>
      <c r="L78" s="21" t="s">
        <v>9</v>
      </c>
      <c r="M78" s="21" t="s">
        <v>9</v>
      </c>
      <c r="N78" s="21" t="s">
        <v>9</v>
      </c>
      <c r="O78" s="162">
        <f t="shared" si="8"/>
        <v>9</v>
      </c>
      <c r="P78" s="163">
        <f t="shared" si="11"/>
        <v>0</v>
      </c>
      <c r="Q78" s="273">
        <f t="shared" si="9"/>
        <v>9</v>
      </c>
      <c r="R78" s="269">
        <v>270000</v>
      </c>
      <c r="S78" s="53">
        <f t="shared" si="10"/>
        <v>2430000</v>
      </c>
      <c r="T78" s="371"/>
      <c r="U78" s="364"/>
    </row>
    <row r="79" spans="1:21" s="55" customFormat="1" x14ac:dyDescent="0.3">
      <c r="A79" s="61">
        <f t="shared" si="12"/>
        <v>76</v>
      </c>
      <c r="B79" s="29" t="s">
        <v>389</v>
      </c>
      <c r="C79" s="29"/>
      <c r="D79" s="25" t="s">
        <v>4</v>
      </c>
      <c r="E79" s="35" t="s">
        <v>9</v>
      </c>
      <c r="F79" s="21" t="s">
        <v>9</v>
      </c>
      <c r="G79" s="21" t="s">
        <v>9</v>
      </c>
      <c r="H79" s="21" t="s">
        <v>9</v>
      </c>
      <c r="I79" s="21" t="s">
        <v>9</v>
      </c>
      <c r="J79" s="21" t="s">
        <v>9</v>
      </c>
      <c r="K79" s="21" t="s">
        <v>9</v>
      </c>
      <c r="L79" s="21" t="s">
        <v>9</v>
      </c>
      <c r="M79" s="21" t="s">
        <v>9</v>
      </c>
      <c r="N79" s="21" t="s">
        <v>9</v>
      </c>
      <c r="O79" s="162">
        <f t="shared" si="8"/>
        <v>10</v>
      </c>
      <c r="P79" s="163">
        <f t="shared" si="11"/>
        <v>0</v>
      </c>
      <c r="Q79" s="273">
        <f t="shared" si="9"/>
        <v>10</v>
      </c>
      <c r="R79" s="269">
        <v>320000</v>
      </c>
      <c r="S79" s="53">
        <f t="shared" si="10"/>
        <v>3200000</v>
      </c>
      <c r="T79" s="371"/>
      <c r="U79" s="364"/>
    </row>
    <row r="80" spans="1:21" s="55" customFormat="1" x14ac:dyDescent="0.3">
      <c r="A80" s="61">
        <f t="shared" si="12"/>
        <v>77</v>
      </c>
      <c r="B80" s="29" t="s">
        <v>390</v>
      </c>
      <c r="C80" s="29"/>
      <c r="D80" s="25" t="s">
        <v>5</v>
      </c>
      <c r="E80" s="35" t="s">
        <v>9</v>
      </c>
      <c r="F80" s="21" t="s">
        <v>9</v>
      </c>
      <c r="G80" s="21" t="s">
        <v>9</v>
      </c>
      <c r="H80" s="21" t="s">
        <v>9</v>
      </c>
      <c r="I80" s="21" t="s">
        <v>9</v>
      </c>
      <c r="J80" s="21" t="s">
        <v>9</v>
      </c>
      <c r="K80" s="21" t="s">
        <v>9</v>
      </c>
      <c r="L80" s="21" t="s">
        <v>9</v>
      </c>
      <c r="M80" s="21" t="s">
        <v>9</v>
      </c>
      <c r="N80" s="21" t="s">
        <v>9</v>
      </c>
      <c r="O80" s="162">
        <f t="shared" si="8"/>
        <v>10</v>
      </c>
      <c r="P80" s="163">
        <f t="shared" si="11"/>
        <v>0</v>
      </c>
      <c r="Q80" s="273">
        <f t="shared" si="9"/>
        <v>10</v>
      </c>
      <c r="R80" s="269">
        <v>270000</v>
      </c>
      <c r="S80" s="53">
        <f t="shared" si="10"/>
        <v>2700000</v>
      </c>
      <c r="T80" s="371"/>
      <c r="U80" s="364"/>
    </row>
    <row r="81" spans="1:22" s="55" customFormat="1" ht="15.6" customHeight="1" x14ac:dyDescent="0.3">
      <c r="A81" s="61">
        <f t="shared" si="12"/>
        <v>78</v>
      </c>
      <c r="B81" s="29" t="s">
        <v>391</v>
      </c>
      <c r="C81" s="29"/>
      <c r="D81" s="25" t="s">
        <v>4</v>
      </c>
      <c r="E81" s="35" t="s">
        <v>9</v>
      </c>
      <c r="F81" s="21" t="s">
        <v>9</v>
      </c>
      <c r="G81" s="21" t="s">
        <v>9</v>
      </c>
      <c r="H81" s="21" t="s">
        <v>9</v>
      </c>
      <c r="I81" s="21" t="s">
        <v>9</v>
      </c>
      <c r="J81" s="21" t="s">
        <v>9</v>
      </c>
      <c r="K81" s="21" t="s">
        <v>9</v>
      </c>
      <c r="L81" s="21" t="s">
        <v>9</v>
      </c>
      <c r="M81" s="21" t="s">
        <v>9</v>
      </c>
      <c r="N81" s="21" t="s">
        <v>9</v>
      </c>
      <c r="O81" s="162">
        <f t="shared" si="8"/>
        <v>10</v>
      </c>
      <c r="P81" s="163">
        <f t="shared" si="11"/>
        <v>0</v>
      </c>
      <c r="Q81" s="273">
        <f t="shared" si="9"/>
        <v>10</v>
      </c>
      <c r="R81" s="269">
        <v>370000</v>
      </c>
      <c r="S81" s="53">
        <f t="shared" si="10"/>
        <v>3700000</v>
      </c>
      <c r="T81" s="371"/>
      <c r="U81" s="364"/>
    </row>
    <row r="82" spans="1:22" s="55" customFormat="1" ht="15.6" customHeight="1" x14ac:dyDescent="0.3">
      <c r="A82" s="61">
        <f t="shared" si="12"/>
        <v>79</v>
      </c>
      <c r="B82" s="29" t="s">
        <v>392</v>
      </c>
      <c r="C82" s="353"/>
      <c r="D82" s="92" t="s">
        <v>5</v>
      </c>
      <c r="E82" s="203" t="s">
        <v>9</v>
      </c>
      <c r="F82" s="21" t="s">
        <v>9</v>
      </c>
      <c r="G82" s="21" t="s">
        <v>9</v>
      </c>
      <c r="H82" s="35" t="s">
        <v>9</v>
      </c>
      <c r="I82" s="21" t="s">
        <v>9</v>
      </c>
      <c r="J82" s="21" t="s">
        <v>9</v>
      </c>
      <c r="K82" s="210" t="s">
        <v>9</v>
      </c>
      <c r="L82" s="210" t="s">
        <v>9</v>
      </c>
      <c r="M82" s="210" t="s">
        <v>9</v>
      </c>
      <c r="N82" s="21" t="s">
        <v>9</v>
      </c>
      <c r="O82" s="51">
        <f t="shared" si="8"/>
        <v>10</v>
      </c>
      <c r="P82" s="78">
        <f t="shared" si="11"/>
        <v>0</v>
      </c>
      <c r="Q82" s="273">
        <f t="shared" si="9"/>
        <v>10</v>
      </c>
      <c r="R82" s="269">
        <v>270000</v>
      </c>
      <c r="S82" s="52">
        <f t="shared" si="10"/>
        <v>2700000</v>
      </c>
      <c r="T82" s="373"/>
      <c r="U82" s="364"/>
    </row>
    <row r="83" spans="1:22" s="55" customFormat="1" ht="15.6" customHeight="1" thickBot="1" x14ac:dyDescent="0.35">
      <c r="A83" s="390">
        <f t="shared" si="12"/>
        <v>80</v>
      </c>
      <c r="B83" s="217" t="s">
        <v>397</v>
      </c>
      <c r="C83" s="218"/>
      <c r="D83" s="404" t="s">
        <v>5</v>
      </c>
      <c r="E83" s="346" t="s">
        <v>9</v>
      </c>
      <c r="F83" s="21"/>
      <c r="G83" s="349" t="s">
        <v>9</v>
      </c>
      <c r="H83" s="348" t="s">
        <v>9</v>
      </c>
      <c r="I83" s="349" t="s">
        <v>9</v>
      </c>
      <c r="J83" s="349" t="s">
        <v>9</v>
      </c>
      <c r="K83" s="350" t="s">
        <v>9</v>
      </c>
      <c r="L83" s="350" t="s">
        <v>9</v>
      </c>
      <c r="M83" s="350" t="s">
        <v>9</v>
      </c>
      <c r="N83" s="349" t="s">
        <v>9</v>
      </c>
      <c r="O83" s="51">
        <f t="shared" si="8"/>
        <v>9</v>
      </c>
      <c r="P83" s="78">
        <f t="shared" si="11"/>
        <v>0</v>
      </c>
      <c r="Q83" s="273">
        <f t="shared" si="9"/>
        <v>9</v>
      </c>
      <c r="R83" s="268">
        <v>270000</v>
      </c>
      <c r="S83" s="52">
        <f t="shared" si="10"/>
        <v>2430000</v>
      </c>
      <c r="T83" s="374"/>
      <c r="U83" s="366"/>
    </row>
    <row r="84" spans="1:22" s="55" customFormat="1" ht="16.2" hidden="1" thickBot="1" x14ac:dyDescent="0.35">
      <c r="A84" s="324"/>
      <c r="B84" s="306"/>
      <c r="C84" s="307"/>
      <c r="D84" s="308"/>
      <c r="E84" s="309"/>
      <c r="F84" s="310"/>
      <c r="G84" s="311"/>
      <c r="H84" s="310"/>
      <c r="I84" s="311"/>
      <c r="J84" s="311"/>
      <c r="K84" s="312"/>
      <c r="L84" s="312"/>
      <c r="M84" s="312"/>
      <c r="N84" s="312"/>
      <c r="O84" s="319"/>
      <c r="P84" s="315"/>
      <c r="Q84" s="326"/>
      <c r="R84" s="313"/>
      <c r="S84" s="316"/>
      <c r="T84" s="372"/>
      <c r="U84" s="365"/>
    </row>
    <row r="85" spans="1:22" s="31" customFormat="1" ht="15.6" customHeight="1" thickBot="1" x14ac:dyDescent="0.35">
      <c r="A85" s="327"/>
      <c r="B85" s="328"/>
      <c r="C85" s="329"/>
      <c r="D85" s="401"/>
      <c r="E85" s="332">
        <f t="shared" ref="E85:N85" si="13">SUBTOTAL(103,E4:E83)</f>
        <v>29</v>
      </c>
      <c r="F85" s="332">
        <f t="shared" si="13"/>
        <v>29</v>
      </c>
      <c r="G85" s="332">
        <f t="shared" si="13"/>
        <v>29</v>
      </c>
      <c r="H85" s="332">
        <f t="shared" si="13"/>
        <v>30</v>
      </c>
      <c r="I85" s="332">
        <f t="shared" si="13"/>
        <v>27</v>
      </c>
      <c r="J85" s="332">
        <f t="shared" si="13"/>
        <v>26</v>
      </c>
      <c r="K85" s="332">
        <f t="shared" si="13"/>
        <v>21</v>
      </c>
      <c r="L85" s="332">
        <f t="shared" si="13"/>
        <v>23</v>
      </c>
      <c r="M85" s="332">
        <f t="shared" si="13"/>
        <v>26</v>
      </c>
      <c r="N85" s="332">
        <f t="shared" si="13"/>
        <v>27</v>
      </c>
      <c r="O85" s="332">
        <f>SUBTOTAL(103,O4:O75)</f>
        <v>72</v>
      </c>
      <c r="P85" s="335">
        <f>SUBTOTAL(103,P4:P27)</f>
        <v>24</v>
      </c>
      <c r="Q85" s="336">
        <f>SUBTOTAL(103,Q4:Q27)</f>
        <v>24</v>
      </c>
      <c r="R85" s="332">
        <f>SUBTOTAL(103,R4:R84)</f>
        <v>80</v>
      </c>
      <c r="S85" s="337">
        <f>SUBTOTAL(109,S4:S83)</f>
        <v>89360000</v>
      </c>
      <c r="T85" s="375"/>
      <c r="U85" s="338">
        <f>SUBTOTAL(109,U4:U84)</f>
        <v>0</v>
      </c>
      <c r="V85" s="208"/>
    </row>
    <row r="86" spans="1:22" x14ac:dyDescent="0.3">
      <c r="S86" s="76"/>
      <c r="T86" s="76"/>
      <c r="U86" s="368">
        <f>S85-U85</f>
        <v>89360000</v>
      </c>
    </row>
    <row r="87" spans="1:22" x14ac:dyDescent="0.3">
      <c r="S87" s="76"/>
      <c r="T87" s="76"/>
      <c r="U87" s="76"/>
    </row>
    <row r="88" spans="1:22" x14ac:dyDescent="0.3">
      <c r="S88" s="76"/>
      <c r="T88" s="76"/>
    </row>
  </sheetData>
  <autoFilter ref="A3:X83"/>
  <mergeCells count="11">
    <mergeCell ref="P2:P3"/>
    <mergeCell ref="A2:A3"/>
    <mergeCell ref="B2:B3"/>
    <mergeCell ref="C2:C3"/>
    <mergeCell ref="D2:D3"/>
    <mergeCell ref="O2:O3"/>
    <mergeCell ref="Q2:Q3"/>
    <mergeCell ref="R2:R3"/>
    <mergeCell ref="S2:S3"/>
    <mergeCell ref="T2:T3"/>
    <mergeCell ref="U2:U3"/>
  </mergeCells>
  <conditionalFormatting sqref="E85:N85">
    <cfRule type="expression" dxfId="3" priority="1">
      <formula>IF(E$3="cn",1,0)</formula>
    </cfRule>
  </conditionalFormatting>
  <printOptions horizontalCentered="1"/>
  <pageMargins left="0.2" right="0.2" top="0.2" bottom="0.26" header="0.2" footer="0.2"/>
  <pageSetup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0000"/>
  </sheetPr>
  <dimension ref="A1:U88"/>
  <sheetViews>
    <sheetView topLeftCell="A23" workbookViewId="0">
      <selection activeCell="R36" sqref="R36"/>
    </sheetView>
  </sheetViews>
  <sheetFormatPr defaultRowHeight="15.6" x14ac:dyDescent="0.3"/>
  <cols>
    <col min="1" max="1" width="5.44140625" style="62" customWidth="1"/>
    <col min="2" max="2" width="19.5546875" style="1" customWidth="1"/>
    <col min="3" max="3" width="8.88671875" style="3" customWidth="1"/>
    <col min="4" max="4" width="5" style="129" customWidth="1"/>
    <col min="5" max="6" width="5.6640625" style="129" customWidth="1"/>
    <col min="7" max="13" width="5.6640625" style="176" customWidth="1"/>
    <col min="14" max="14" width="6.21875" style="176" hidden="1" customWidth="1"/>
    <col min="15" max="15" width="6.6640625" style="176" hidden="1" customWidth="1"/>
    <col min="16" max="16" width="6.5546875" style="176" customWidth="1"/>
    <col min="17" max="18" width="12.88671875" style="1" customWidth="1"/>
    <col min="19" max="19" width="13.109375" style="1" hidden="1" customWidth="1"/>
    <col min="20" max="20" width="12.5546875" style="1" customWidth="1"/>
    <col min="21" max="21" width="22" style="1" customWidth="1"/>
    <col min="22" max="16384" width="8.88671875" style="1"/>
  </cols>
  <sheetData>
    <row r="1" spans="1:21" ht="23.4" customHeight="1" thickBot="1" x14ac:dyDescent="0.35">
      <c r="A1" s="154" t="s">
        <v>414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73"/>
      <c r="Q1" s="173"/>
      <c r="R1" s="173"/>
      <c r="S1" s="173"/>
      <c r="T1" s="173"/>
    </row>
    <row r="2" spans="1:21" s="3" customFormat="1" ht="12.6" customHeight="1" x14ac:dyDescent="0.3">
      <c r="A2" s="414" t="s">
        <v>0</v>
      </c>
      <c r="B2" s="416" t="s">
        <v>1</v>
      </c>
      <c r="C2" s="418" t="s">
        <v>358</v>
      </c>
      <c r="D2" s="34">
        <v>11</v>
      </c>
      <c r="E2" s="23">
        <v>12</v>
      </c>
      <c r="F2" s="23">
        <f t="shared" ref="F2:M2" si="0">E2+1</f>
        <v>13</v>
      </c>
      <c r="G2" s="23">
        <f t="shared" si="0"/>
        <v>14</v>
      </c>
      <c r="H2" s="23">
        <f t="shared" si="0"/>
        <v>15</v>
      </c>
      <c r="I2" s="23">
        <f t="shared" si="0"/>
        <v>16</v>
      </c>
      <c r="J2" s="23">
        <f t="shared" si="0"/>
        <v>17</v>
      </c>
      <c r="K2" s="23">
        <f t="shared" si="0"/>
        <v>18</v>
      </c>
      <c r="L2" s="23">
        <f t="shared" si="0"/>
        <v>19</v>
      </c>
      <c r="M2" s="23">
        <f t="shared" si="0"/>
        <v>20</v>
      </c>
      <c r="N2" s="420" t="s">
        <v>6</v>
      </c>
      <c r="O2" s="434" t="s">
        <v>7</v>
      </c>
      <c r="P2" s="436" t="s">
        <v>357</v>
      </c>
      <c r="Q2" s="438" t="s">
        <v>30</v>
      </c>
      <c r="R2" s="428" t="s">
        <v>33</v>
      </c>
      <c r="S2" s="442" t="s">
        <v>396</v>
      </c>
      <c r="T2" s="430" t="s">
        <v>127</v>
      </c>
    </row>
    <row r="3" spans="1:21" s="3" customFormat="1" ht="12.6" customHeight="1" thickBot="1" x14ac:dyDescent="0.35">
      <c r="A3" s="415"/>
      <c r="B3" s="417"/>
      <c r="C3" s="419"/>
      <c r="D3" s="377" t="s">
        <v>96</v>
      </c>
      <c r="E3" s="377" t="s">
        <v>98</v>
      </c>
      <c r="F3" s="378" t="s">
        <v>99</v>
      </c>
      <c r="G3" s="213" t="s">
        <v>93</v>
      </c>
      <c r="H3" s="213" t="s">
        <v>94</v>
      </c>
      <c r="I3" s="377" t="s">
        <v>95</v>
      </c>
      <c r="J3" s="377" t="s">
        <v>97</v>
      </c>
      <c r="K3" s="213" t="s">
        <v>96</v>
      </c>
      <c r="L3" s="377" t="s">
        <v>98</v>
      </c>
      <c r="M3" s="377" t="s">
        <v>99</v>
      </c>
      <c r="N3" s="421"/>
      <c r="O3" s="435"/>
      <c r="P3" s="437"/>
      <c r="Q3" s="439"/>
      <c r="R3" s="440"/>
      <c r="S3" s="443"/>
      <c r="T3" s="441"/>
    </row>
    <row r="4" spans="1:21" s="3" customFormat="1" ht="15.6" customHeight="1" x14ac:dyDescent="0.3">
      <c r="A4" s="130">
        <v>1</v>
      </c>
      <c r="B4" s="131" t="s">
        <v>2</v>
      </c>
      <c r="C4" s="133" t="s">
        <v>128</v>
      </c>
      <c r="D4" s="403" t="s">
        <v>9</v>
      </c>
      <c r="E4" s="264" t="s">
        <v>9</v>
      </c>
      <c r="F4" s="264" t="s">
        <v>9</v>
      </c>
      <c r="G4" s="265" t="s">
        <v>9</v>
      </c>
      <c r="H4" s="264" t="s">
        <v>9</v>
      </c>
      <c r="I4" s="264" t="s">
        <v>9</v>
      </c>
      <c r="J4" s="266" t="s">
        <v>9</v>
      </c>
      <c r="K4" s="266" t="s">
        <v>9</v>
      </c>
      <c r="L4" s="266" t="s">
        <v>9</v>
      </c>
      <c r="M4" s="135" t="s">
        <v>9</v>
      </c>
      <c r="N4" s="122">
        <f t="shared" ref="N4:N67" si="1">COUNTIF(D4:M4,"X")</f>
        <v>10</v>
      </c>
      <c r="O4" s="123">
        <f>COUNTIF(D4:H4,"X/2")/2</f>
        <v>0</v>
      </c>
      <c r="P4" s="272">
        <f t="shared" ref="P4:P67" si="2">SUM(N4:O4)</f>
        <v>10</v>
      </c>
      <c r="Q4" s="268">
        <v>550000</v>
      </c>
      <c r="R4" s="376">
        <f t="shared" ref="R4:R67" si="3">P4*Q4</f>
        <v>5500000</v>
      </c>
      <c r="S4" s="369"/>
      <c r="T4" s="367">
        <v>4000000</v>
      </c>
      <c r="U4" s="31"/>
    </row>
    <row r="5" spans="1:21" s="31" customFormat="1" ht="15.6" customHeight="1" x14ac:dyDescent="0.3">
      <c r="A5" s="61">
        <v>2</v>
      </c>
      <c r="B5" s="28" t="s">
        <v>36</v>
      </c>
      <c r="C5" s="90" t="s">
        <v>4</v>
      </c>
      <c r="D5" s="203"/>
      <c r="E5" s="21"/>
      <c r="F5" s="21"/>
      <c r="G5" s="35"/>
      <c r="H5" s="21"/>
      <c r="I5" s="21" t="s">
        <v>9</v>
      </c>
      <c r="J5" s="210" t="s">
        <v>9</v>
      </c>
      <c r="K5" s="210" t="s">
        <v>9</v>
      </c>
      <c r="L5" s="210" t="s">
        <v>9</v>
      </c>
      <c r="M5" s="21" t="s">
        <v>9</v>
      </c>
      <c r="N5" s="51">
        <f t="shared" si="1"/>
        <v>5</v>
      </c>
      <c r="O5" s="78">
        <f t="shared" ref="O5:O68" si="4">COUNTIF(D5:M5,"X/2")/2</f>
        <v>0</v>
      </c>
      <c r="P5" s="273">
        <f t="shared" si="2"/>
        <v>5</v>
      </c>
      <c r="Q5" s="269">
        <v>380000</v>
      </c>
      <c r="R5" s="52">
        <f t="shared" si="3"/>
        <v>1900000</v>
      </c>
      <c r="S5" s="370"/>
      <c r="T5" s="355"/>
    </row>
    <row r="6" spans="1:21" s="31" customFormat="1" hidden="1" x14ac:dyDescent="0.3">
      <c r="A6" s="61">
        <v>3</v>
      </c>
      <c r="B6" s="28" t="s">
        <v>35</v>
      </c>
      <c r="C6" s="90" t="s">
        <v>4</v>
      </c>
      <c r="D6" s="203"/>
      <c r="E6" s="21"/>
      <c r="F6" s="21"/>
      <c r="G6" s="35"/>
      <c r="H6" s="21"/>
      <c r="I6" s="21"/>
      <c r="J6" s="210"/>
      <c r="K6" s="210"/>
      <c r="L6" s="210"/>
      <c r="M6" s="21"/>
      <c r="N6" s="51">
        <f t="shared" si="1"/>
        <v>0</v>
      </c>
      <c r="O6" s="78">
        <f t="shared" si="4"/>
        <v>0</v>
      </c>
      <c r="P6" s="273">
        <f t="shared" si="2"/>
        <v>0</v>
      </c>
      <c r="Q6" s="269">
        <v>370000</v>
      </c>
      <c r="R6" s="52">
        <f t="shared" si="3"/>
        <v>0</v>
      </c>
      <c r="S6" s="370"/>
      <c r="T6" s="355"/>
    </row>
    <row r="7" spans="1:21" s="31" customFormat="1" ht="15.6" hidden="1" customHeight="1" x14ac:dyDescent="0.3">
      <c r="A7" s="61">
        <f t="shared" ref="A7:A70" si="5">A6+1</f>
        <v>4</v>
      </c>
      <c r="B7" s="28" t="s">
        <v>37</v>
      </c>
      <c r="C7" s="90" t="s">
        <v>4</v>
      </c>
      <c r="D7" s="203"/>
      <c r="E7" s="21"/>
      <c r="F7" s="21"/>
      <c r="G7" s="35"/>
      <c r="H7" s="21"/>
      <c r="I7" s="21"/>
      <c r="J7" s="210"/>
      <c r="K7" s="210"/>
      <c r="L7" s="210"/>
      <c r="M7" s="21"/>
      <c r="N7" s="51">
        <f t="shared" si="1"/>
        <v>0</v>
      </c>
      <c r="O7" s="78">
        <f t="shared" si="4"/>
        <v>0</v>
      </c>
      <c r="P7" s="273">
        <f t="shared" si="2"/>
        <v>0</v>
      </c>
      <c r="Q7" s="269">
        <v>370000</v>
      </c>
      <c r="R7" s="52">
        <f t="shared" si="3"/>
        <v>0</v>
      </c>
      <c r="S7" s="369"/>
      <c r="T7" s="356"/>
    </row>
    <row r="8" spans="1:21" s="31" customFormat="1" ht="15.6" customHeight="1" x14ac:dyDescent="0.3">
      <c r="A8" s="61">
        <f t="shared" si="5"/>
        <v>5</v>
      </c>
      <c r="B8" s="28" t="s">
        <v>38</v>
      </c>
      <c r="C8" s="90" t="s">
        <v>17</v>
      </c>
      <c r="D8" s="203" t="s">
        <v>9</v>
      </c>
      <c r="E8" s="21" t="s">
        <v>9</v>
      </c>
      <c r="F8" s="21" t="s">
        <v>9</v>
      </c>
      <c r="G8" s="35" t="s">
        <v>9</v>
      </c>
      <c r="H8" s="21"/>
      <c r="I8" s="21"/>
      <c r="J8" s="210" t="s">
        <v>9</v>
      </c>
      <c r="K8" s="210" t="s">
        <v>9</v>
      </c>
      <c r="L8" s="210" t="s">
        <v>9</v>
      </c>
      <c r="M8" s="21" t="s">
        <v>9</v>
      </c>
      <c r="N8" s="51">
        <f t="shared" si="1"/>
        <v>8</v>
      </c>
      <c r="O8" s="78">
        <f t="shared" si="4"/>
        <v>0</v>
      </c>
      <c r="P8" s="273">
        <f t="shared" si="2"/>
        <v>8</v>
      </c>
      <c r="Q8" s="269">
        <v>350000</v>
      </c>
      <c r="R8" s="52">
        <f t="shared" si="3"/>
        <v>2800000</v>
      </c>
      <c r="S8" s="370"/>
      <c r="T8" s="355"/>
    </row>
    <row r="9" spans="1:21" s="55" customFormat="1" ht="15.6" customHeight="1" x14ac:dyDescent="0.3">
      <c r="A9" s="294">
        <f t="shared" si="5"/>
        <v>6</v>
      </c>
      <c r="B9" s="158" t="s">
        <v>145</v>
      </c>
      <c r="C9" s="92" t="s">
        <v>5</v>
      </c>
      <c r="D9" s="203" t="s">
        <v>9</v>
      </c>
      <c r="E9" s="21" t="s">
        <v>9</v>
      </c>
      <c r="F9" s="21" t="s">
        <v>9</v>
      </c>
      <c r="G9" s="35"/>
      <c r="H9" s="21" t="s">
        <v>9</v>
      </c>
      <c r="I9" s="21" t="s">
        <v>9</v>
      </c>
      <c r="J9" s="210" t="s">
        <v>9</v>
      </c>
      <c r="K9" s="210" t="s">
        <v>9</v>
      </c>
      <c r="L9" s="210"/>
      <c r="M9" s="21" t="s">
        <v>9</v>
      </c>
      <c r="N9" s="51">
        <f t="shared" si="1"/>
        <v>8</v>
      </c>
      <c r="O9" s="78">
        <f t="shared" si="4"/>
        <v>0</v>
      </c>
      <c r="P9" s="273">
        <f t="shared" si="2"/>
        <v>8</v>
      </c>
      <c r="Q9" s="269">
        <v>350000</v>
      </c>
      <c r="R9" s="52">
        <f t="shared" si="3"/>
        <v>2800000</v>
      </c>
      <c r="S9" s="370"/>
      <c r="T9" s="358"/>
    </row>
    <row r="10" spans="1:21" s="31" customFormat="1" ht="15.6" customHeight="1" x14ac:dyDescent="0.3">
      <c r="A10" s="61">
        <f t="shared" si="5"/>
        <v>7</v>
      </c>
      <c r="B10" s="28" t="s">
        <v>34</v>
      </c>
      <c r="C10" s="90" t="s">
        <v>5</v>
      </c>
      <c r="D10" s="203" t="s">
        <v>9</v>
      </c>
      <c r="E10" s="21" t="s">
        <v>9</v>
      </c>
      <c r="F10" s="21"/>
      <c r="G10" s="35" t="s">
        <v>9</v>
      </c>
      <c r="H10" s="21" t="s">
        <v>9</v>
      </c>
      <c r="I10" s="21" t="s">
        <v>9</v>
      </c>
      <c r="J10" s="210" t="s">
        <v>9</v>
      </c>
      <c r="K10" s="210" t="s">
        <v>9</v>
      </c>
      <c r="L10" s="210" t="s">
        <v>9</v>
      </c>
      <c r="M10" s="21" t="s">
        <v>9</v>
      </c>
      <c r="N10" s="51">
        <f t="shared" si="1"/>
        <v>9</v>
      </c>
      <c r="O10" s="78">
        <f t="shared" si="4"/>
        <v>0</v>
      </c>
      <c r="P10" s="273">
        <f t="shared" si="2"/>
        <v>9</v>
      </c>
      <c r="Q10" s="269">
        <v>300000</v>
      </c>
      <c r="R10" s="52">
        <f t="shared" si="3"/>
        <v>2700000</v>
      </c>
      <c r="S10" s="370"/>
      <c r="T10" s="358"/>
    </row>
    <row r="11" spans="1:21" s="31" customFormat="1" ht="15.6" customHeight="1" x14ac:dyDescent="0.3">
      <c r="A11" s="61">
        <f t="shared" si="5"/>
        <v>8</v>
      </c>
      <c r="B11" s="28" t="s">
        <v>46</v>
      </c>
      <c r="C11" s="90" t="s">
        <v>5</v>
      </c>
      <c r="D11" s="203" t="s">
        <v>9</v>
      </c>
      <c r="E11" s="21" t="s">
        <v>9</v>
      </c>
      <c r="F11" s="21" t="s">
        <v>9</v>
      </c>
      <c r="G11" s="35" t="s">
        <v>9</v>
      </c>
      <c r="H11" s="21" t="s">
        <v>9</v>
      </c>
      <c r="I11" s="21" t="s">
        <v>9</v>
      </c>
      <c r="J11" s="210" t="s">
        <v>9</v>
      </c>
      <c r="K11" s="210" t="s">
        <v>9</v>
      </c>
      <c r="L11" s="210" t="s">
        <v>9</v>
      </c>
      <c r="M11" s="21" t="s">
        <v>9</v>
      </c>
      <c r="N11" s="51">
        <f t="shared" si="1"/>
        <v>10</v>
      </c>
      <c r="O11" s="78">
        <f t="shared" si="4"/>
        <v>0</v>
      </c>
      <c r="P11" s="273">
        <f t="shared" si="2"/>
        <v>10</v>
      </c>
      <c r="Q11" s="269">
        <v>360000</v>
      </c>
      <c r="R11" s="52">
        <f t="shared" si="3"/>
        <v>3600000</v>
      </c>
      <c r="S11" s="370"/>
      <c r="T11" s="355"/>
    </row>
    <row r="12" spans="1:21" s="31" customFormat="1" hidden="1" x14ac:dyDescent="0.3">
      <c r="A12" s="61">
        <f t="shared" si="5"/>
        <v>9</v>
      </c>
      <c r="B12" s="28" t="s">
        <v>42</v>
      </c>
      <c r="C12" s="90" t="s">
        <v>4</v>
      </c>
      <c r="D12" s="203"/>
      <c r="E12" s="21"/>
      <c r="F12" s="21"/>
      <c r="G12" s="35"/>
      <c r="H12" s="21"/>
      <c r="I12" s="21"/>
      <c r="J12" s="210"/>
      <c r="K12" s="210"/>
      <c r="L12" s="210"/>
      <c r="M12" s="21"/>
      <c r="N12" s="51">
        <f t="shared" si="1"/>
        <v>0</v>
      </c>
      <c r="O12" s="78">
        <f t="shared" si="4"/>
        <v>0</v>
      </c>
      <c r="P12" s="273">
        <f t="shared" si="2"/>
        <v>0</v>
      </c>
      <c r="Q12" s="269">
        <v>400000</v>
      </c>
      <c r="R12" s="52">
        <f t="shared" si="3"/>
        <v>0</v>
      </c>
      <c r="S12" s="370"/>
      <c r="T12" s="355"/>
    </row>
    <row r="13" spans="1:21" s="31" customFormat="1" hidden="1" x14ac:dyDescent="0.3">
      <c r="A13" s="61">
        <v>10</v>
      </c>
      <c r="B13" s="28" t="s">
        <v>43</v>
      </c>
      <c r="C13" s="90" t="s">
        <v>5</v>
      </c>
      <c r="D13" s="203"/>
      <c r="E13" s="21"/>
      <c r="F13" s="21"/>
      <c r="G13" s="35"/>
      <c r="H13" s="21"/>
      <c r="I13" s="21"/>
      <c r="J13" s="210"/>
      <c r="K13" s="210"/>
      <c r="L13" s="210"/>
      <c r="M13" s="21"/>
      <c r="N13" s="51">
        <f t="shared" si="1"/>
        <v>0</v>
      </c>
      <c r="O13" s="78">
        <f t="shared" si="4"/>
        <v>0</v>
      </c>
      <c r="P13" s="273">
        <f t="shared" si="2"/>
        <v>0</v>
      </c>
      <c r="Q13" s="269">
        <v>280000</v>
      </c>
      <c r="R13" s="52">
        <f t="shared" si="3"/>
        <v>0</v>
      </c>
      <c r="S13" s="370"/>
      <c r="T13" s="355"/>
    </row>
    <row r="14" spans="1:21" s="31" customFormat="1" ht="15.6" customHeight="1" x14ac:dyDescent="0.3">
      <c r="A14" s="61">
        <f t="shared" si="5"/>
        <v>11</v>
      </c>
      <c r="B14" s="28" t="s">
        <v>41</v>
      </c>
      <c r="C14" s="90" t="s">
        <v>4</v>
      </c>
      <c r="D14" s="203" t="s">
        <v>9</v>
      </c>
      <c r="E14" s="21" t="s">
        <v>9</v>
      </c>
      <c r="F14" s="21" t="s">
        <v>9</v>
      </c>
      <c r="G14" s="35"/>
      <c r="H14" s="21" t="s">
        <v>9</v>
      </c>
      <c r="I14" s="21" t="s">
        <v>9</v>
      </c>
      <c r="J14" s="210" t="s">
        <v>9</v>
      </c>
      <c r="K14" s="210" t="s">
        <v>9</v>
      </c>
      <c r="L14" s="210" t="s">
        <v>9</v>
      </c>
      <c r="M14" s="21" t="s">
        <v>9</v>
      </c>
      <c r="N14" s="51">
        <f t="shared" si="1"/>
        <v>9</v>
      </c>
      <c r="O14" s="78">
        <f t="shared" si="4"/>
        <v>0</v>
      </c>
      <c r="P14" s="273">
        <f t="shared" si="2"/>
        <v>9</v>
      </c>
      <c r="Q14" s="269">
        <v>400000</v>
      </c>
      <c r="R14" s="52">
        <f>P14*Q14</f>
        <v>3600000</v>
      </c>
      <c r="S14" s="370"/>
      <c r="T14" s="355"/>
    </row>
    <row r="15" spans="1:21" s="31" customFormat="1" ht="15.6" customHeight="1" x14ac:dyDescent="0.3">
      <c r="A15" s="61">
        <f t="shared" si="5"/>
        <v>12</v>
      </c>
      <c r="B15" s="28" t="s">
        <v>47</v>
      </c>
      <c r="C15" s="90" t="s">
        <v>4</v>
      </c>
      <c r="D15" s="203" t="s">
        <v>9</v>
      </c>
      <c r="E15" s="21" t="s">
        <v>9</v>
      </c>
      <c r="F15" s="21" t="s">
        <v>9</v>
      </c>
      <c r="G15" s="35"/>
      <c r="H15" s="21" t="s">
        <v>9</v>
      </c>
      <c r="I15" s="21" t="s">
        <v>9</v>
      </c>
      <c r="J15" s="210" t="s">
        <v>9</v>
      </c>
      <c r="K15" s="210" t="s">
        <v>9</v>
      </c>
      <c r="L15" s="210" t="s">
        <v>9</v>
      </c>
      <c r="M15" s="21" t="s">
        <v>9</v>
      </c>
      <c r="N15" s="51">
        <f t="shared" si="1"/>
        <v>9</v>
      </c>
      <c r="O15" s="78">
        <f t="shared" si="4"/>
        <v>0</v>
      </c>
      <c r="P15" s="273">
        <f t="shared" si="2"/>
        <v>9</v>
      </c>
      <c r="Q15" s="269">
        <v>390000</v>
      </c>
      <c r="R15" s="52">
        <f t="shared" si="3"/>
        <v>3510000</v>
      </c>
      <c r="S15" s="370"/>
      <c r="T15" s="355"/>
    </row>
    <row r="16" spans="1:21" s="31" customFormat="1" hidden="1" x14ac:dyDescent="0.3">
      <c r="A16" s="61">
        <f t="shared" si="5"/>
        <v>13</v>
      </c>
      <c r="B16" s="28" t="s">
        <v>61</v>
      </c>
      <c r="C16" s="92" t="s">
        <v>4</v>
      </c>
      <c r="D16" s="203"/>
      <c r="E16" s="21"/>
      <c r="F16" s="21"/>
      <c r="G16" s="35"/>
      <c r="H16" s="21"/>
      <c r="I16" s="21"/>
      <c r="J16" s="210"/>
      <c r="K16" s="210"/>
      <c r="L16" s="210"/>
      <c r="M16" s="21"/>
      <c r="N16" s="51">
        <f t="shared" si="1"/>
        <v>0</v>
      </c>
      <c r="O16" s="78">
        <f t="shared" si="4"/>
        <v>0</v>
      </c>
      <c r="P16" s="273">
        <f t="shared" si="2"/>
        <v>0</v>
      </c>
      <c r="Q16" s="270">
        <v>370000</v>
      </c>
      <c r="R16" s="52">
        <f t="shared" si="3"/>
        <v>0</v>
      </c>
      <c r="S16" s="370"/>
      <c r="T16" s="355"/>
    </row>
    <row r="17" spans="1:20" s="31" customFormat="1" hidden="1" x14ac:dyDescent="0.3">
      <c r="A17" s="61">
        <f t="shared" si="5"/>
        <v>14</v>
      </c>
      <c r="B17" s="28" t="s">
        <v>62</v>
      </c>
      <c r="C17" s="92" t="s">
        <v>4</v>
      </c>
      <c r="D17" s="203"/>
      <c r="E17" s="21"/>
      <c r="F17" s="21"/>
      <c r="G17" s="35"/>
      <c r="H17" s="21"/>
      <c r="I17" s="21"/>
      <c r="J17" s="210"/>
      <c r="K17" s="210"/>
      <c r="L17" s="210"/>
      <c r="M17" s="21"/>
      <c r="N17" s="51">
        <f t="shared" si="1"/>
        <v>0</v>
      </c>
      <c r="O17" s="78">
        <f t="shared" si="4"/>
        <v>0</v>
      </c>
      <c r="P17" s="273">
        <f t="shared" si="2"/>
        <v>0</v>
      </c>
      <c r="Q17" s="270">
        <v>360000</v>
      </c>
      <c r="R17" s="52">
        <f t="shared" si="3"/>
        <v>0</v>
      </c>
      <c r="S17" s="370"/>
      <c r="T17" s="355"/>
    </row>
    <row r="18" spans="1:20" s="31" customFormat="1" hidden="1" x14ac:dyDescent="0.3">
      <c r="A18" s="61">
        <f t="shared" si="5"/>
        <v>15</v>
      </c>
      <c r="B18" s="28" t="s">
        <v>63</v>
      </c>
      <c r="C18" s="92" t="s">
        <v>4</v>
      </c>
      <c r="D18" s="203"/>
      <c r="E18" s="21"/>
      <c r="F18" s="21"/>
      <c r="G18" s="35"/>
      <c r="H18" s="21"/>
      <c r="I18" s="21"/>
      <c r="J18" s="210"/>
      <c r="K18" s="210"/>
      <c r="L18" s="210"/>
      <c r="M18" s="21"/>
      <c r="N18" s="51">
        <f t="shared" si="1"/>
        <v>0</v>
      </c>
      <c r="O18" s="78">
        <f t="shared" si="4"/>
        <v>0</v>
      </c>
      <c r="P18" s="273">
        <f t="shared" si="2"/>
        <v>0</v>
      </c>
      <c r="Q18" s="270">
        <v>380000</v>
      </c>
      <c r="R18" s="52">
        <f t="shared" si="3"/>
        <v>0</v>
      </c>
      <c r="S18" s="370"/>
      <c r="T18" s="355"/>
    </row>
    <row r="19" spans="1:20" s="31" customFormat="1" hidden="1" x14ac:dyDescent="0.3">
      <c r="A19" s="61">
        <f t="shared" si="5"/>
        <v>16</v>
      </c>
      <c r="B19" s="28" t="s">
        <v>59</v>
      </c>
      <c r="C19" s="92" t="s">
        <v>5</v>
      </c>
      <c r="D19" s="203"/>
      <c r="E19" s="21"/>
      <c r="F19" s="21"/>
      <c r="G19" s="35"/>
      <c r="H19" s="21"/>
      <c r="I19" s="21"/>
      <c r="J19" s="210"/>
      <c r="K19" s="210"/>
      <c r="L19" s="210"/>
      <c r="M19" s="21"/>
      <c r="N19" s="51">
        <f t="shared" si="1"/>
        <v>0</v>
      </c>
      <c r="O19" s="78">
        <f t="shared" si="4"/>
        <v>0</v>
      </c>
      <c r="P19" s="273">
        <f t="shared" si="2"/>
        <v>0</v>
      </c>
      <c r="Q19" s="270">
        <v>270000</v>
      </c>
      <c r="R19" s="52">
        <f t="shared" si="3"/>
        <v>0</v>
      </c>
      <c r="S19" s="370"/>
      <c r="T19" s="355"/>
    </row>
    <row r="20" spans="1:20" s="31" customFormat="1" x14ac:dyDescent="0.3">
      <c r="A20" s="61">
        <f t="shared" si="5"/>
        <v>17</v>
      </c>
      <c r="B20" s="28" t="s">
        <v>64</v>
      </c>
      <c r="C20" s="92" t="s">
        <v>4</v>
      </c>
      <c r="D20" s="203" t="s">
        <v>9</v>
      </c>
      <c r="E20" s="21" t="s">
        <v>9</v>
      </c>
      <c r="F20" s="21"/>
      <c r="G20" s="35"/>
      <c r="H20" s="21"/>
      <c r="I20" s="21" t="s">
        <v>9</v>
      </c>
      <c r="J20" s="210" t="s">
        <v>9</v>
      </c>
      <c r="K20" s="210" t="s">
        <v>9</v>
      </c>
      <c r="L20" s="210"/>
      <c r="M20" s="21"/>
      <c r="N20" s="51">
        <f t="shared" si="1"/>
        <v>5</v>
      </c>
      <c r="O20" s="78">
        <f t="shared" si="4"/>
        <v>0</v>
      </c>
      <c r="P20" s="273">
        <f t="shared" si="2"/>
        <v>5</v>
      </c>
      <c r="Q20" s="270">
        <v>380000</v>
      </c>
      <c r="R20" s="52">
        <f t="shared" si="3"/>
        <v>1900000</v>
      </c>
      <c r="S20" s="370"/>
      <c r="T20" s="355"/>
    </row>
    <row r="21" spans="1:20" s="55" customFormat="1" hidden="1" x14ac:dyDescent="0.3">
      <c r="A21" s="61">
        <f t="shared" si="5"/>
        <v>18</v>
      </c>
      <c r="B21" s="158" t="s">
        <v>65</v>
      </c>
      <c r="C21" s="92" t="s">
        <v>4</v>
      </c>
      <c r="D21" s="203"/>
      <c r="E21" s="21"/>
      <c r="F21" s="21"/>
      <c r="G21" s="35"/>
      <c r="H21" s="21"/>
      <c r="I21" s="21"/>
      <c r="J21" s="210"/>
      <c r="K21" s="210"/>
      <c r="L21" s="210"/>
      <c r="M21" s="21"/>
      <c r="N21" s="51">
        <f t="shared" si="1"/>
        <v>0</v>
      </c>
      <c r="O21" s="78">
        <f t="shared" si="4"/>
        <v>0</v>
      </c>
      <c r="P21" s="273">
        <f t="shared" si="2"/>
        <v>0</v>
      </c>
      <c r="Q21" s="270">
        <v>370000</v>
      </c>
      <c r="R21" s="52">
        <f t="shared" si="3"/>
        <v>0</v>
      </c>
      <c r="S21" s="370"/>
      <c r="T21" s="358"/>
    </row>
    <row r="22" spans="1:20" s="31" customFormat="1" x14ac:dyDescent="0.3">
      <c r="A22" s="61">
        <f t="shared" si="5"/>
        <v>19</v>
      </c>
      <c r="B22" s="48" t="s">
        <v>126</v>
      </c>
      <c r="C22" s="91" t="s">
        <v>5</v>
      </c>
      <c r="D22" s="203" t="s">
        <v>9</v>
      </c>
      <c r="E22" s="21" t="s">
        <v>9</v>
      </c>
      <c r="F22" s="21" t="s">
        <v>9</v>
      </c>
      <c r="G22" s="35" t="s">
        <v>9</v>
      </c>
      <c r="H22" s="21" t="s">
        <v>9</v>
      </c>
      <c r="I22" s="21" t="s">
        <v>9</v>
      </c>
      <c r="J22" s="210" t="s">
        <v>9</v>
      </c>
      <c r="K22" s="210" t="s">
        <v>9</v>
      </c>
      <c r="L22" s="210" t="s">
        <v>9</v>
      </c>
      <c r="M22" s="21" t="s">
        <v>9</v>
      </c>
      <c r="N22" s="51">
        <f t="shared" si="1"/>
        <v>10</v>
      </c>
      <c r="O22" s="78">
        <f t="shared" si="4"/>
        <v>0</v>
      </c>
      <c r="P22" s="273">
        <f t="shared" si="2"/>
        <v>10</v>
      </c>
      <c r="Q22" s="269">
        <v>280000</v>
      </c>
      <c r="R22" s="52">
        <f t="shared" si="3"/>
        <v>2800000</v>
      </c>
      <c r="S22" s="370"/>
      <c r="T22" s="355"/>
    </row>
    <row r="23" spans="1:20" s="31" customFormat="1" x14ac:dyDescent="0.3">
      <c r="A23" s="61">
        <f t="shared" si="5"/>
        <v>20</v>
      </c>
      <c r="B23" s="116" t="s">
        <v>143</v>
      </c>
      <c r="C23" s="117" t="s">
        <v>4</v>
      </c>
      <c r="D23" s="203" t="s">
        <v>9</v>
      </c>
      <c r="E23" s="21" t="s">
        <v>9</v>
      </c>
      <c r="F23" s="21" t="s">
        <v>9</v>
      </c>
      <c r="G23" s="35" t="s">
        <v>9</v>
      </c>
      <c r="H23" s="21" t="s">
        <v>9</v>
      </c>
      <c r="I23" s="21" t="s">
        <v>9</v>
      </c>
      <c r="J23" s="210" t="s">
        <v>9</v>
      </c>
      <c r="K23" s="210" t="s">
        <v>9</v>
      </c>
      <c r="L23" s="210" t="s">
        <v>9</v>
      </c>
      <c r="M23" s="21" t="s">
        <v>9</v>
      </c>
      <c r="N23" s="51">
        <f t="shared" si="1"/>
        <v>10</v>
      </c>
      <c r="O23" s="78">
        <f t="shared" si="4"/>
        <v>0</v>
      </c>
      <c r="P23" s="273">
        <f t="shared" si="2"/>
        <v>10</v>
      </c>
      <c r="Q23" s="270">
        <v>380000</v>
      </c>
      <c r="R23" s="52">
        <f t="shared" si="3"/>
        <v>3800000</v>
      </c>
      <c r="S23" s="371"/>
      <c r="T23" s="359"/>
    </row>
    <row r="24" spans="1:20" s="31" customFormat="1" x14ac:dyDescent="0.3">
      <c r="A24" s="61">
        <f t="shared" si="5"/>
        <v>21</v>
      </c>
      <c r="B24" s="116" t="s">
        <v>144</v>
      </c>
      <c r="C24" s="117" t="s">
        <v>4</v>
      </c>
      <c r="D24" s="203" t="s">
        <v>9</v>
      </c>
      <c r="E24" s="21" t="s">
        <v>9</v>
      </c>
      <c r="F24" s="21" t="s">
        <v>9</v>
      </c>
      <c r="G24" s="35" t="s">
        <v>9</v>
      </c>
      <c r="H24" s="21" t="s">
        <v>9</v>
      </c>
      <c r="I24" s="21" t="s">
        <v>9</v>
      </c>
      <c r="J24" s="210" t="s">
        <v>9</v>
      </c>
      <c r="K24" s="210" t="s">
        <v>9</v>
      </c>
      <c r="L24" s="210" t="s">
        <v>9</v>
      </c>
      <c r="M24" s="21" t="s">
        <v>9</v>
      </c>
      <c r="N24" s="51">
        <f t="shared" si="1"/>
        <v>10</v>
      </c>
      <c r="O24" s="78">
        <f t="shared" si="4"/>
        <v>0</v>
      </c>
      <c r="P24" s="273">
        <f t="shared" si="2"/>
        <v>10</v>
      </c>
      <c r="Q24" s="270">
        <v>280000</v>
      </c>
      <c r="R24" s="52">
        <f t="shared" si="3"/>
        <v>2800000</v>
      </c>
      <c r="S24" s="371"/>
      <c r="T24" s="359"/>
    </row>
    <row r="25" spans="1:20" s="31" customFormat="1" hidden="1" x14ac:dyDescent="0.3">
      <c r="A25" s="61">
        <f t="shared" si="5"/>
        <v>22</v>
      </c>
      <c r="B25" s="116" t="s">
        <v>164</v>
      </c>
      <c r="C25" s="117" t="s">
        <v>5</v>
      </c>
      <c r="D25" s="206"/>
      <c r="E25" s="21"/>
      <c r="F25" s="21"/>
      <c r="G25" s="35"/>
      <c r="H25" s="21"/>
      <c r="I25" s="21"/>
      <c r="J25" s="210"/>
      <c r="K25" s="210"/>
      <c r="L25" s="210"/>
      <c r="M25" s="21"/>
      <c r="N25" s="51">
        <f t="shared" si="1"/>
        <v>0</v>
      </c>
      <c r="O25" s="78">
        <f t="shared" si="4"/>
        <v>0</v>
      </c>
      <c r="P25" s="273">
        <f t="shared" si="2"/>
        <v>0</v>
      </c>
      <c r="Q25" s="270">
        <v>270000</v>
      </c>
      <c r="R25" s="52">
        <f t="shared" si="3"/>
        <v>0</v>
      </c>
      <c r="S25" s="371"/>
      <c r="T25" s="359"/>
    </row>
    <row r="26" spans="1:20" s="31" customFormat="1" hidden="1" x14ac:dyDescent="0.3">
      <c r="A26" s="61">
        <f t="shared" si="5"/>
        <v>23</v>
      </c>
      <c r="B26" s="116" t="s">
        <v>171</v>
      </c>
      <c r="C26" s="117" t="s">
        <v>5</v>
      </c>
      <c r="D26" s="206"/>
      <c r="E26" s="21"/>
      <c r="F26" s="21"/>
      <c r="G26" s="35"/>
      <c r="H26" s="21"/>
      <c r="I26" s="21"/>
      <c r="J26" s="210"/>
      <c r="K26" s="210"/>
      <c r="L26" s="210"/>
      <c r="M26" s="21"/>
      <c r="N26" s="51">
        <f t="shared" si="1"/>
        <v>0</v>
      </c>
      <c r="O26" s="78">
        <f t="shared" si="4"/>
        <v>0</v>
      </c>
      <c r="P26" s="273">
        <f t="shared" si="2"/>
        <v>0</v>
      </c>
      <c r="Q26" s="270">
        <v>280000</v>
      </c>
      <c r="R26" s="53">
        <f t="shared" si="3"/>
        <v>0</v>
      </c>
      <c r="S26" s="371"/>
      <c r="T26" s="359"/>
    </row>
    <row r="27" spans="1:20" s="31" customFormat="1" hidden="1" x14ac:dyDescent="0.3">
      <c r="A27" s="61">
        <f t="shared" si="5"/>
        <v>24</v>
      </c>
      <c r="B27" s="116" t="s">
        <v>172</v>
      </c>
      <c r="C27" s="117" t="s">
        <v>4</v>
      </c>
      <c r="D27" s="35"/>
      <c r="E27" s="21"/>
      <c r="F27" s="35"/>
      <c r="G27" s="21"/>
      <c r="H27" s="21"/>
      <c r="I27" s="21"/>
      <c r="J27" s="211"/>
      <c r="K27" s="211"/>
      <c r="L27" s="211"/>
      <c r="M27" s="32"/>
      <c r="N27" s="51">
        <f t="shared" si="1"/>
        <v>0</v>
      </c>
      <c r="O27" s="78">
        <f t="shared" si="4"/>
        <v>0</v>
      </c>
      <c r="P27" s="273">
        <f t="shared" si="2"/>
        <v>0</v>
      </c>
      <c r="Q27" s="270">
        <v>370000</v>
      </c>
      <c r="R27" s="53">
        <f t="shared" si="3"/>
        <v>0</v>
      </c>
      <c r="S27" s="371"/>
      <c r="T27" s="359"/>
    </row>
    <row r="28" spans="1:20" s="55" customFormat="1" hidden="1" x14ac:dyDescent="0.3">
      <c r="A28" s="294">
        <v>25</v>
      </c>
      <c r="B28" s="159" t="s">
        <v>194</v>
      </c>
      <c r="C28" s="160" t="s">
        <v>4</v>
      </c>
      <c r="D28" s="206"/>
      <c r="E28" s="32"/>
      <c r="F28" s="32"/>
      <c r="G28" s="36"/>
      <c r="H28" s="32"/>
      <c r="I28" s="32"/>
      <c r="J28" s="211"/>
      <c r="K28" s="211"/>
      <c r="L28" s="211"/>
      <c r="M28" s="32"/>
      <c r="N28" s="51">
        <f t="shared" si="1"/>
        <v>0</v>
      </c>
      <c r="O28" s="78">
        <f t="shared" si="4"/>
        <v>0</v>
      </c>
      <c r="P28" s="273">
        <f t="shared" si="2"/>
        <v>0</v>
      </c>
      <c r="Q28" s="270">
        <v>400000</v>
      </c>
      <c r="R28" s="53">
        <f t="shared" si="3"/>
        <v>0</v>
      </c>
      <c r="S28" s="371"/>
      <c r="T28" s="364"/>
    </row>
    <row r="29" spans="1:20" s="55" customFormat="1" x14ac:dyDescent="0.3">
      <c r="A29" s="294">
        <f t="shared" si="5"/>
        <v>26</v>
      </c>
      <c r="B29" s="159" t="s">
        <v>220</v>
      </c>
      <c r="C29" s="160" t="s">
        <v>4</v>
      </c>
      <c r="D29" s="206" t="s">
        <v>9</v>
      </c>
      <c r="E29" s="32" t="s">
        <v>9</v>
      </c>
      <c r="F29" s="32" t="s">
        <v>9</v>
      </c>
      <c r="G29" s="36"/>
      <c r="H29" s="32" t="s">
        <v>9</v>
      </c>
      <c r="I29" s="32" t="s">
        <v>9</v>
      </c>
      <c r="J29" s="211" t="s">
        <v>9</v>
      </c>
      <c r="K29" s="211" t="s">
        <v>9</v>
      </c>
      <c r="L29" s="211"/>
      <c r="M29" s="32" t="s">
        <v>9</v>
      </c>
      <c r="N29" s="51">
        <f t="shared" si="1"/>
        <v>8</v>
      </c>
      <c r="O29" s="78">
        <f t="shared" si="4"/>
        <v>0</v>
      </c>
      <c r="P29" s="273">
        <f t="shared" si="2"/>
        <v>8</v>
      </c>
      <c r="Q29" s="270">
        <v>370000</v>
      </c>
      <c r="R29" s="53">
        <f t="shared" si="3"/>
        <v>2960000</v>
      </c>
      <c r="S29" s="354"/>
      <c r="T29" s="364"/>
    </row>
    <row r="30" spans="1:20" s="55" customFormat="1" hidden="1" x14ac:dyDescent="0.3">
      <c r="A30" s="294">
        <f t="shared" si="5"/>
        <v>27</v>
      </c>
      <c r="B30" s="159" t="s">
        <v>221</v>
      </c>
      <c r="C30" s="160" t="s">
        <v>4</v>
      </c>
      <c r="D30" s="206"/>
      <c r="E30" s="32"/>
      <c r="F30" s="32"/>
      <c r="G30" s="36"/>
      <c r="H30" s="32"/>
      <c r="I30" s="32"/>
      <c r="J30" s="211"/>
      <c r="K30" s="211"/>
      <c r="L30" s="211"/>
      <c r="M30" s="32"/>
      <c r="N30" s="51">
        <f t="shared" si="1"/>
        <v>0</v>
      </c>
      <c r="O30" s="78">
        <f t="shared" si="4"/>
        <v>0</v>
      </c>
      <c r="P30" s="273">
        <f t="shared" si="2"/>
        <v>0</v>
      </c>
      <c r="Q30" s="270">
        <v>380000</v>
      </c>
      <c r="R30" s="53">
        <f t="shared" si="3"/>
        <v>0</v>
      </c>
      <c r="S30" s="372"/>
      <c r="T30" s="361"/>
    </row>
    <row r="31" spans="1:20" s="31" customFormat="1" x14ac:dyDescent="0.3">
      <c r="A31" s="61">
        <f t="shared" si="5"/>
        <v>28</v>
      </c>
      <c r="B31" s="48" t="s">
        <v>222</v>
      </c>
      <c r="C31" s="91" t="s">
        <v>4</v>
      </c>
      <c r="D31" s="203" t="s">
        <v>9</v>
      </c>
      <c r="E31" s="32" t="s">
        <v>9</v>
      </c>
      <c r="F31" s="32" t="s">
        <v>9</v>
      </c>
      <c r="G31" s="36"/>
      <c r="H31" s="32" t="s">
        <v>9</v>
      </c>
      <c r="I31" s="32" t="s">
        <v>9</v>
      </c>
      <c r="J31" s="211" t="s">
        <v>9</v>
      </c>
      <c r="K31" s="211" t="s">
        <v>9</v>
      </c>
      <c r="L31" s="211" t="s">
        <v>9</v>
      </c>
      <c r="M31" s="32" t="s">
        <v>9</v>
      </c>
      <c r="N31" s="51">
        <f t="shared" si="1"/>
        <v>9</v>
      </c>
      <c r="O31" s="78">
        <f t="shared" si="4"/>
        <v>0</v>
      </c>
      <c r="P31" s="273">
        <f t="shared" si="2"/>
        <v>9</v>
      </c>
      <c r="Q31" s="286">
        <v>370000</v>
      </c>
      <c r="R31" s="53">
        <f t="shared" si="3"/>
        <v>3330000</v>
      </c>
      <c r="S31" s="371"/>
      <c r="T31" s="359"/>
    </row>
    <row r="32" spans="1:20" s="31" customFormat="1" hidden="1" x14ac:dyDescent="0.3">
      <c r="A32" s="61">
        <f t="shared" si="5"/>
        <v>29</v>
      </c>
      <c r="B32" s="116" t="s">
        <v>223</v>
      </c>
      <c r="C32" s="117" t="s">
        <v>5</v>
      </c>
      <c r="D32" s="203"/>
      <c r="E32" s="32"/>
      <c r="F32" s="32"/>
      <c r="G32" s="36"/>
      <c r="H32" s="32"/>
      <c r="I32" s="32"/>
      <c r="J32" s="211"/>
      <c r="K32" s="211"/>
      <c r="L32" s="211"/>
      <c r="M32" s="32"/>
      <c r="N32" s="51">
        <f t="shared" si="1"/>
        <v>0</v>
      </c>
      <c r="O32" s="78">
        <f t="shared" si="4"/>
        <v>0</v>
      </c>
      <c r="P32" s="273">
        <f t="shared" si="2"/>
        <v>0</v>
      </c>
      <c r="Q32" s="270">
        <v>280000</v>
      </c>
      <c r="R32" s="53">
        <f>P32*Q32</f>
        <v>0</v>
      </c>
      <c r="S32" s="371"/>
      <c r="T32" s="359"/>
    </row>
    <row r="33" spans="1:21" s="31" customFormat="1" hidden="1" x14ac:dyDescent="0.3">
      <c r="A33" s="61">
        <f>A32+1</f>
        <v>30</v>
      </c>
      <c r="B33" s="116" t="s">
        <v>224</v>
      </c>
      <c r="C33" s="117" t="s">
        <v>4</v>
      </c>
      <c r="D33" s="206"/>
      <c r="E33" s="32"/>
      <c r="F33" s="32"/>
      <c r="G33" s="36"/>
      <c r="H33" s="32"/>
      <c r="I33" s="32"/>
      <c r="J33" s="211"/>
      <c r="K33" s="211"/>
      <c r="L33" s="211"/>
      <c r="M33" s="32"/>
      <c r="N33" s="51">
        <f t="shared" si="1"/>
        <v>0</v>
      </c>
      <c r="O33" s="78">
        <f t="shared" si="4"/>
        <v>0</v>
      </c>
      <c r="P33" s="273">
        <f t="shared" si="2"/>
        <v>0</v>
      </c>
      <c r="Q33" s="270">
        <v>370000</v>
      </c>
      <c r="R33" s="53">
        <f t="shared" si="3"/>
        <v>0</v>
      </c>
      <c r="S33" s="371"/>
      <c r="T33" s="359"/>
    </row>
    <row r="34" spans="1:21" s="31" customFormat="1" hidden="1" x14ac:dyDescent="0.3">
      <c r="A34" s="61">
        <f t="shared" si="5"/>
        <v>31</v>
      </c>
      <c r="B34" s="116" t="s">
        <v>225</v>
      </c>
      <c r="C34" s="117" t="s">
        <v>5</v>
      </c>
      <c r="D34" s="206"/>
      <c r="E34" s="32"/>
      <c r="F34" s="32"/>
      <c r="G34" s="36"/>
      <c r="H34" s="32"/>
      <c r="I34" s="32"/>
      <c r="J34" s="211"/>
      <c r="K34" s="211"/>
      <c r="L34" s="211"/>
      <c r="M34" s="32"/>
      <c r="N34" s="51">
        <f t="shared" si="1"/>
        <v>0</v>
      </c>
      <c r="O34" s="78">
        <f t="shared" si="4"/>
        <v>0</v>
      </c>
      <c r="P34" s="273">
        <f t="shared" si="2"/>
        <v>0</v>
      </c>
      <c r="Q34" s="270">
        <v>270000</v>
      </c>
      <c r="R34" s="53">
        <f t="shared" si="3"/>
        <v>0</v>
      </c>
      <c r="S34" s="371"/>
      <c r="T34" s="359"/>
    </row>
    <row r="35" spans="1:21" s="31" customFormat="1" hidden="1" x14ac:dyDescent="0.3">
      <c r="A35" s="61">
        <f t="shared" si="5"/>
        <v>32</v>
      </c>
      <c r="B35" s="116" t="s">
        <v>226</v>
      </c>
      <c r="C35" s="117" t="s">
        <v>4</v>
      </c>
      <c r="D35" s="206"/>
      <c r="E35" s="32"/>
      <c r="F35" s="32"/>
      <c r="G35" s="36"/>
      <c r="H35" s="32"/>
      <c r="I35" s="32"/>
      <c r="J35" s="211"/>
      <c r="K35" s="211"/>
      <c r="L35" s="211"/>
      <c r="M35" s="32"/>
      <c r="N35" s="51">
        <f t="shared" si="1"/>
        <v>0</v>
      </c>
      <c r="O35" s="78">
        <f t="shared" si="4"/>
        <v>0</v>
      </c>
      <c r="P35" s="273">
        <f t="shared" si="2"/>
        <v>0</v>
      </c>
      <c r="Q35" s="270">
        <v>360000</v>
      </c>
      <c r="R35" s="53">
        <f t="shared" si="3"/>
        <v>0</v>
      </c>
      <c r="S35" s="371"/>
      <c r="T35" s="359"/>
    </row>
    <row r="36" spans="1:21" s="55" customFormat="1" ht="15.6" customHeight="1" x14ac:dyDescent="0.3">
      <c r="A36" s="294">
        <f t="shared" si="5"/>
        <v>33</v>
      </c>
      <c r="B36" s="159" t="s">
        <v>229</v>
      </c>
      <c r="C36" s="160" t="s">
        <v>5</v>
      </c>
      <c r="D36" s="206" t="s">
        <v>9</v>
      </c>
      <c r="E36" s="32" t="s">
        <v>9</v>
      </c>
      <c r="F36" s="32" t="s">
        <v>9</v>
      </c>
      <c r="G36" s="36"/>
      <c r="H36" s="32" t="s">
        <v>9</v>
      </c>
      <c r="I36" s="32" t="s">
        <v>9</v>
      </c>
      <c r="J36" s="211" t="s">
        <v>9</v>
      </c>
      <c r="K36" s="211" t="s">
        <v>9</v>
      </c>
      <c r="L36" s="211"/>
      <c r="M36" s="32" t="s">
        <v>9</v>
      </c>
      <c r="N36" s="51">
        <f t="shared" si="1"/>
        <v>8</v>
      </c>
      <c r="O36" s="78">
        <f t="shared" si="4"/>
        <v>0</v>
      </c>
      <c r="P36" s="273">
        <f t="shared" si="2"/>
        <v>8</v>
      </c>
      <c r="Q36" s="270">
        <v>300000</v>
      </c>
      <c r="R36" s="53">
        <f>P36*Q36</f>
        <v>2400000</v>
      </c>
      <c r="S36" s="371"/>
      <c r="T36" s="362"/>
      <c r="U36" s="295"/>
    </row>
    <row r="37" spans="1:21" s="55" customFormat="1" hidden="1" x14ac:dyDescent="0.3">
      <c r="A37" s="61">
        <f t="shared" si="5"/>
        <v>34</v>
      </c>
      <c r="B37" s="159" t="s">
        <v>230</v>
      </c>
      <c r="C37" s="160" t="s">
        <v>5</v>
      </c>
      <c r="D37" s="206"/>
      <c r="E37" s="32"/>
      <c r="F37" s="32"/>
      <c r="G37" s="36"/>
      <c r="H37" s="32"/>
      <c r="I37" s="32"/>
      <c r="J37" s="211"/>
      <c r="K37" s="211"/>
      <c r="L37" s="211"/>
      <c r="M37" s="32"/>
      <c r="N37" s="51">
        <f t="shared" si="1"/>
        <v>0</v>
      </c>
      <c r="O37" s="78">
        <f t="shared" si="4"/>
        <v>0</v>
      </c>
      <c r="P37" s="273">
        <f t="shared" si="2"/>
        <v>0</v>
      </c>
      <c r="Q37" s="270">
        <v>260000</v>
      </c>
      <c r="R37" s="53">
        <f t="shared" si="3"/>
        <v>0</v>
      </c>
      <c r="S37" s="371"/>
      <c r="T37" s="362"/>
    </row>
    <row r="38" spans="1:21" s="31" customFormat="1" ht="15.6" customHeight="1" x14ac:dyDescent="0.3">
      <c r="A38" s="61">
        <f t="shared" si="5"/>
        <v>35</v>
      </c>
      <c r="B38" s="116" t="s">
        <v>231</v>
      </c>
      <c r="C38" s="117" t="s">
        <v>4</v>
      </c>
      <c r="D38" s="206" t="s">
        <v>9</v>
      </c>
      <c r="E38" s="32" t="s">
        <v>9</v>
      </c>
      <c r="F38" s="32" t="s">
        <v>9</v>
      </c>
      <c r="G38" s="36"/>
      <c r="H38" s="32" t="s">
        <v>9</v>
      </c>
      <c r="I38" s="32" t="s">
        <v>9</v>
      </c>
      <c r="J38" s="211" t="s">
        <v>9</v>
      </c>
      <c r="K38" s="211" t="s">
        <v>9</v>
      </c>
      <c r="L38" s="211" t="s">
        <v>9</v>
      </c>
      <c r="M38" s="32"/>
      <c r="N38" s="51">
        <f t="shared" si="1"/>
        <v>8</v>
      </c>
      <c r="O38" s="78">
        <f t="shared" si="4"/>
        <v>0</v>
      </c>
      <c r="P38" s="273">
        <f t="shared" si="2"/>
        <v>8</v>
      </c>
      <c r="Q38" s="270">
        <v>370000</v>
      </c>
      <c r="R38" s="53">
        <f t="shared" si="3"/>
        <v>2960000</v>
      </c>
      <c r="S38" s="371"/>
      <c r="T38" s="359"/>
    </row>
    <row r="39" spans="1:21" s="31" customFormat="1" hidden="1" x14ac:dyDescent="0.3">
      <c r="A39" s="61">
        <f t="shared" si="5"/>
        <v>36</v>
      </c>
      <c r="B39" s="116" t="s">
        <v>232</v>
      </c>
      <c r="C39" s="117" t="s">
        <v>4</v>
      </c>
      <c r="D39" s="206"/>
      <c r="E39" s="32"/>
      <c r="F39" s="32"/>
      <c r="G39" s="36"/>
      <c r="H39" s="32"/>
      <c r="I39" s="32"/>
      <c r="J39" s="211"/>
      <c r="K39" s="211"/>
      <c r="L39" s="211"/>
      <c r="M39" s="32"/>
      <c r="N39" s="51">
        <f t="shared" si="1"/>
        <v>0</v>
      </c>
      <c r="O39" s="78">
        <f t="shared" si="4"/>
        <v>0</v>
      </c>
      <c r="P39" s="273">
        <f t="shared" si="2"/>
        <v>0</v>
      </c>
      <c r="Q39" s="270">
        <v>360000</v>
      </c>
      <c r="R39" s="53">
        <f t="shared" si="3"/>
        <v>0</v>
      </c>
      <c r="S39" s="371"/>
      <c r="T39" s="359"/>
    </row>
    <row r="40" spans="1:21" s="31" customFormat="1" ht="15.6" customHeight="1" x14ac:dyDescent="0.3">
      <c r="A40" s="61">
        <f t="shared" si="5"/>
        <v>37</v>
      </c>
      <c r="B40" s="116" t="s">
        <v>233</v>
      </c>
      <c r="C40" s="117" t="s">
        <v>5</v>
      </c>
      <c r="D40" s="206" t="s">
        <v>9</v>
      </c>
      <c r="E40" s="32" t="s">
        <v>9</v>
      </c>
      <c r="F40" s="32" t="s">
        <v>9</v>
      </c>
      <c r="G40" s="36"/>
      <c r="H40" s="32" t="s">
        <v>9</v>
      </c>
      <c r="I40" s="32" t="s">
        <v>9</v>
      </c>
      <c r="J40" s="211" t="s">
        <v>9</v>
      </c>
      <c r="K40" s="211" t="s">
        <v>9</v>
      </c>
      <c r="L40" s="211" t="s">
        <v>9</v>
      </c>
      <c r="M40" s="32" t="s">
        <v>9</v>
      </c>
      <c r="N40" s="51">
        <f t="shared" si="1"/>
        <v>9</v>
      </c>
      <c r="O40" s="78">
        <f t="shared" si="4"/>
        <v>0</v>
      </c>
      <c r="P40" s="273">
        <f t="shared" si="2"/>
        <v>9</v>
      </c>
      <c r="Q40" s="270">
        <v>270000</v>
      </c>
      <c r="R40" s="53">
        <f t="shared" si="3"/>
        <v>2430000</v>
      </c>
      <c r="S40" s="371"/>
      <c r="T40" s="359"/>
    </row>
    <row r="41" spans="1:21" s="31" customFormat="1" hidden="1" x14ac:dyDescent="0.3">
      <c r="A41" s="61">
        <f t="shared" si="5"/>
        <v>38</v>
      </c>
      <c r="B41" s="116" t="s">
        <v>45</v>
      </c>
      <c r="C41" s="117" t="s">
        <v>4</v>
      </c>
      <c r="D41" s="206"/>
      <c r="E41" s="32"/>
      <c r="F41" s="32"/>
      <c r="G41" s="36"/>
      <c r="H41" s="32"/>
      <c r="I41" s="32"/>
      <c r="J41" s="211"/>
      <c r="K41" s="211"/>
      <c r="L41" s="211"/>
      <c r="M41" s="32"/>
      <c r="N41" s="51">
        <f t="shared" si="1"/>
        <v>0</v>
      </c>
      <c r="O41" s="78">
        <f t="shared" si="4"/>
        <v>0</v>
      </c>
      <c r="P41" s="273">
        <f t="shared" si="2"/>
        <v>0</v>
      </c>
      <c r="Q41" s="270">
        <v>370000</v>
      </c>
      <c r="R41" s="53">
        <f t="shared" si="3"/>
        <v>0</v>
      </c>
      <c r="S41" s="371"/>
      <c r="T41" s="359"/>
    </row>
    <row r="42" spans="1:21" s="31" customFormat="1" hidden="1" x14ac:dyDescent="0.3">
      <c r="A42" s="61">
        <f t="shared" si="5"/>
        <v>39</v>
      </c>
      <c r="B42" s="116" t="s">
        <v>236</v>
      </c>
      <c r="C42" s="117" t="s">
        <v>5</v>
      </c>
      <c r="D42" s="206"/>
      <c r="E42" s="32"/>
      <c r="F42" s="32"/>
      <c r="G42" s="36"/>
      <c r="H42" s="32"/>
      <c r="I42" s="32"/>
      <c r="J42" s="211"/>
      <c r="K42" s="211"/>
      <c r="L42" s="211"/>
      <c r="M42" s="32"/>
      <c r="N42" s="51">
        <f t="shared" si="1"/>
        <v>0</v>
      </c>
      <c r="O42" s="78">
        <f t="shared" si="4"/>
        <v>0</v>
      </c>
      <c r="P42" s="273">
        <f t="shared" si="2"/>
        <v>0</v>
      </c>
      <c r="Q42" s="270">
        <v>270000</v>
      </c>
      <c r="R42" s="53">
        <f t="shared" si="3"/>
        <v>0</v>
      </c>
      <c r="S42" s="371"/>
      <c r="T42" s="359"/>
    </row>
    <row r="43" spans="1:21" s="55" customFormat="1" ht="15.6" customHeight="1" x14ac:dyDescent="0.3">
      <c r="A43" s="294">
        <f t="shared" si="5"/>
        <v>40</v>
      </c>
      <c r="B43" s="159" t="s">
        <v>235</v>
      </c>
      <c r="C43" s="160" t="s">
        <v>4</v>
      </c>
      <c r="D43" s="206" t="s">
        <v>9</v>
      </c>
      <c r="E43" s="32"/>
      <c r="F43" s="32"/>
      <c r="G43" s="36"/>
      <c r="H43" s="32"/>
      <c r="I43" s="32"/>
      <c r="J43" s="211"/>
      <c r="K43" s="211"/>
      <c r="L43" s="211"/>
      <c r="M43" s="32"/>
      <c r="N43" s="51">
        <f t="shared" si="1"/>
        <v>1</v>
      </c>
      <c r="O43" s="78">
        <f t="shared" si="4"/>
        <v>0</v>
      </c>
      <c r="P43" s="273">
        <f t="shared" si="2"/>
        <v>1</v>
      </c>
      <c r="Q43" s="270">
        <v>370000</v>
      </c>
      <c r="R43" s="53">
        <f>P43*Q43</f>
        <v>370000</v>
      </c>
      <c r="S43" s="371"/>
      <c r="T43" s="362"/>
      <c r="U43" s="295"/>
    </row>
    <row r="44" spans="1:21" s="31" customFormat="1" ht="15.6" customHeight="1" x14ac:dyDescent="0.3">
      <c r="A44" s="61">
        <f t="shared" si="5"/>
        <v>41</v>
      </c>
      <c r="B44" s="116" t="s">
        <v>237</v>
      </c>
      <c r="C44" s="117" t="s">
        <v>5</v>
      </c>
      <c r="D44" s="206" t="s">
        <v>9</v>
      </c>
      <c r="E44" s="32"/>
      <c r="F44" s="32"/>
      <c r="G44" s="36"/>
      <c r="H44" s="32"/>
      <c r="I44" s="32"/>
      <c r="J44" s="211"/>
      <c r="K44" s="211"/>
      <c r="L44" s="211"/>
      <c r="M44" s="32"/>
      <c r="N44" s="51">
        <f t="shared" si="1"/>
        <v>1</v>
      </c>
      <c r="O44" s="78">
        <f t="shared" si="4"/>
        <v>0</v>
      </c>
      <c r="P44" s="273">
        <f t="shared" si="2"/>
        <v>1</v>
      </c>
      <c r="Q44" s="270">
        <v>270000</v>
      </c>
      <c r="R44" s="53">
        <f t="shared" si="3"/>
        <v>270000</v>
      </c>
      <c r="S44" s="371"/>
      <c r="T44" s="359"/>
    </row>
    <row r="45" spans="1:21" s="31" customFormat="1" hidden="1" x14ac:dyDescent="0.3">
      <c r="A45" s="61">
        <f t="shared" si="5"/>
        <v>42</v>
      </c>
      <c r="B45" s="116" t="s">
        <v>238</v>
      </c>
      <c r="C45" s="117" t="s">
        <v>5</v>
      </c>
      <c r="D45" s="206"/>
      <c r="E45" s="32"/>
      <c r="F45" s="32"/>
      <c r="G45" s="32"/>
      <c r="H45" s="36"/>
      <c r="I45" s="32"/>
      <c r="J45" s="211"/>
      <c r="K45" s="211"/>
      <c r="L45" s="211"/>
      <c r="M45" s="32"/>
      <c r="N45" s="51">
        <f t="shared" si="1"/>
        <v>0</v>
      </c>
      <c r="O45" s="78">
        <f t="shared" si="4"/>
        <v>0</v>
      </c>
      <c r="P45" s="273">
        <f t="shared" si="2"/>
        <v>0</v>
      </c>
      <c r="Q45" s="270">
        <v>270000</v>
      </c>
      <c r="R45" s="53">
        <f t="shared" si="3"/>
        <v>0</v>
      </c>
      <c r="S45" s="371"/>
      <c r="T45" s="359"/>
    </row>
    <row r="46" spans="1:21" s="31" customFormat="1" hidden="1" x14ac:dyDescent="0.3">
      <c r="A46" s="61">
        <f t="shared" si="5"/>
        <v>43</v>
      </c>
      <c r="B46" s="48" t="s">
        <v>239</v>
      </c>
      <c r="C46" s="91" t="s">
        <v>5</v>
      </c>
      <c r="D46" s="203"/>
      <c r="E46" s="21"/>
      <c r="F46" s="21"/>
      <c r="G46" s="35"/>
      <c r="H46" s="21"/>
      <c r="I46" s="21"/>
      <c r="J46" s="210"/>
      <c r="K46" s="210"/>
      <c r="L46" s="210"/>
      <c r="M46" s="21"/>
      <c r="N46" s="51">
        <f t="shared" si="1"/>
        <v>0</v>
      </c>
      <c r="O46" s="78">
        <f t="shared" si="4"/>
        <v>0</v>
      </c>
      <c r="P46" s="273">
        <f t="shared" si="2"/>
        <v>0</v>
      </c>
      <c r="Q46" s="270">
        <v>270000</v>
      </c>
      <c r="R46" s="53">
        <f t="shared" si="3"/>
        <v>0</v>
      </c>
      <c r="S46" s="371"/>
      <c r="T46" s="359"/>
    </row>
    <row r="47" spans="1:21" s="55" customFormat="1" ht="15.6" hidden="1" customHeight="1" x14ac:dyDescent="0.3">
      <c r="A47" s="294">
        <f t="shared" si="5"/>
        <v>44</v>
      </c>
      <c r="B47" s="159" t="s">
        <v>240</v>
      </c>
      <c r="C47" s="160" t="s">
        <v>4</v>
      </c>
      <c r="D47" s="206"/>
      <c r="E47" s="32"/>
      <c r="F47" s="32"/>
      <c r="G47" s="36"/>
      <c r="H47" s="32"/>
      <c r="I47" s="32"/>
      <c r="J47" s="211"/>
      <c r="K47" s="211"/>
      <c r="L47" s="211"/>
      <c r="M47" s="32"/>
      <c r="N47" s="51">
        <f t="shared" si="1"/>
        <v>0</v>
      </c>
      <c r="O47" s="78">
        <f t="shared" si="4"/>
        <v>0</v>
      </c>
      <c r="P47" s="273">
        <f t="shared" si="2"/>
        <v>0</v>
      </c>
      <c r="Q47" s="270">
        <v>370000</v>
      </c>
      <c r="R47" s="53">
        <f>P47*Q47</f>
        <v>0</v>
      </c>
      <c r="S47" s="371"/>
      <c r="T47" s="362"/>
      <c r="U47" s="295"/>
    </row>
    <row r="48" spans="1:21" s="31" customFormat="1" ht="15.6" hidden="1" customHeight="1" x14ac:dyDescent="0.3">
      <c r="A48" s="61">
        <f t="shared" si="5"/>
        <v>45</v>
      </c>
      <c r="B48" s="116" t="s">
        <v>241</v>
      </c>
      <c r="C48" s="117" t="s">
        <v>4</v>
      </c>
      <c r="D48" s="206"/>
      <c r="E48" s="32"/>
      <c r="F48" s="32"/>
      <c r="G48" s="36"/>
      <c r="H48" s="32"/>
      <c r="I48" s="32"/>
      <c r="J48" s="211"/>
      <c r="K48" s="211"/>
      <c r="L48" s="211"/>
      <c r="M48" s="32"/>
      <c r="N48" s="51">
        <f t="shared" si="1"/>
        <v>0</v>
      </c>
      <c r="O48" s="78">
        <f t="shared" si="4"/>
        <v>0</v>
      </c>
      <c r="P48" s="273">
        <f t="shared" si="2"/>
        <v>0</v>
      </c>
      <c r="Q48" s="270">
        <v>360000</v>
      </c>
      <c r="R48" s="53">
        <f t="shared" si="3"/>
        <v>0</v>
      </c>
      <c r="S48" s="371"/>
      <c r="T48" s="359"/>
    </row>
    <row r="49" spans="1:21" s="31" customFormat="1" ht="15.6" customHeight="1" x14ac:dyDescent="0.3">
      <c r="A49" s="61">
        <f t="shared" si="5"/>
        <v>46</v>
      </c>
      <c r="B49" s="116" t="s">
        <v>242</v>
      </c>
      <c r="C49" s="117" t="s">
        <v>5</v>
      </c>
      <c r="D49" s="206" t="s">
        <v>9</v>
      </c>
      <c r="E49" s="32" t="s">
        <v>9</v>
      </c>
      <c r="F49" s="32" t="s">
        <v>9</v>
      </c>
      <c r="G49" s="36" t="s">
        <v>9</v>
      </c>
      <c r="H49" s="32" t="s">
        <v>9</v>
      </c>
      <c r="I49" s="32" t="s">
        <v>9</v>
      </c>
      <c r="J49" s="211" t="s">
        <v>9</v>
      </c>
      <c r="K49" s="211" t="s">
        <v>9</v>
      </c>
      <c r="L49" s="211" t="s">
        <v>9</v>
      </c>
      <c r="M49" s="32" t="s">
        <v>9</v>
      </c>
      <c r="N49" s="51">
        <f t="shared" si="1"/>
        <v>10</v>
      </c>
      <c r="O49" s="78">
        <f t="shared" si="4"/>
        <v>0</v>
      </c>
      <c r="P49" s="273">
        <f t="shared" si="2"/>
        <v>10</v>
      </c>
      <c r="Q49" s="270">
        <v>270000</v>
      </c>
      <c r="R49" s="53">
        <f t="shared" si="3"/>
        <v>2700000</v>
      </c>
      <c r="S49" s="371"/>
      <c r="T49" s="359"/>
    </row>
    <row r="50" spans="1:21" s="31" customFormat="1" hidden="1" x14ac:dyDescent="0.3">
      <c r="A50" s="61">
        <f t="shared" si="5"/>
        <v>47</v>
      </c>
      <c r="B50" s="48" t="s">
        <v>243</v>
      </c>
      <c r="C50" s="91" t="s">
        <v>5</v>
      </c>
      <c r="D50" s="203"/>
      <c r="E50" s="32"/>
      <c r="F50" s="32"/>
      <c r="G50" s="36"/>
      <c r="H50" s="32"/>
      <c r="I50" s="32"/>
      <c r="J50" s="211"/>
      <c r="K50" s="211"/>
      <c r="L50" s="211"/>
      <c r="M50" s="32"/>
      <c r="N50" s="51">
        <f t="shared" si="1"/>
        <v>0</v>
      </c>
      <c r="O50" s="78">
        <f t="shared" si="4"/>
        <v>0</v>
      </c>
      <c r="P50" s="273">
        <f t="shared" si="2"/>
        <v>0</v>
      </c>
      <c r="Q50" s="270">
        <v>270000</v>
      </c>
      <c r="R50" s="53">
        <f t="shared" si="3"/>
        <v>0</v>
      </c>
      <c r="S50" s="371"/>
      <c r="T50" s="359"/>
    </row>
    <row r="51" spans="1:21" s="31" customFormat="1" hidden="1" x14ac:dyDescent="0.3">
      <c r="A51" s="61">
        <f t="shared" si="5"/>
        <v>48</v>
      </c>
      <c r="B51" s="116" t="s">
        <v>287</v>
      </c>
      <c r="C51" s="117" t="s">
        <v>4</v>
      </c>
      <c r="D51" s="206"/>
      <c r="E51" s="32"/>
      <c r="F51" s="32"/>
      <c r="G51" s="36"/>
      <c r="H51" s="32"/>
      <c r="I51" s="32"/>
      <c r="J51" s="211"/>
      <c r="K51" s="211"/>
      <c r="L51" s="211"/>
      <c r="M51" s="32"/>
      <c r="N51" s="51">
        <f t="shared" si="1"/>
        <v>0</v>
      </c>
      <c r="O51" s="78">
        <f t="shared" si="4"/>
        <v>0</v>
      </c>
      <c r="P51" s="273">
        <f t="shared" si="2"/>
        <v>0</v>
      </c>
      <c r="Q51" s="270">
        <v>360000</v>
      </c>
      <c r="R51" s="53">
        <f t="shared" si="3"/>
        <v>0</v>
      </c>
      <c r="S51" s="371"/>
      <c r="T51" s="359"/>
    </row>
    <row r="52" spans="1:21" s="31" customFormat="1" hidden="1" x14ac:dyDescent="0.3">
      <c r="A52" s="61">
        <f t="shared" si="5"/>
        <v>49</v>
      </c>
      <c r="B52" s="116" t="s">
        <v>289</v>
      </c>
      <c r="C52" s="117" t="s">
        <v>4</v>
      </c>
      <c r="D52" s="206"/>
      <c r="E52" s="32"/>
      <c r="F52" s="32"/>
      <c r="G52" s="36"/>
      <c r="H52" s="32"/>
      <c r="I52" s="32"/>
      <c r="J52" s="211"/>
      <c r="K52" s="211"/>
      <c r="L52" s="211"/>
      <c r="M52" s="32"/>
      <c r="N52" s="51">
        <f t="shared" si="1"/>
        <v>0</v>
      </c>
      <c r="O52" s="78">
        <f t="shared" si="4"/>
        <v>0</v>
      </c>
      <c r="P52" s="273">
        <f t="shared" si="2"/>
        <v>0</v>
      </c>
      <c r="Q52" s="270">
        <v>360000</v>
      </c>
      <c r="R52" s="53">
        <f t="shared" si="3"/>
        <v>0</v>
      </c>
      <c r="S52" s="371"/>
      <c r="T52" s="359"/>
    </row>
    <row r="53" spans="1:21" s="31" customFormat="1" hidden="1" x14ac:dyDescent="0.3">
      <c r="A53" s="61">
        <f t="shared" si="5"/>
        <v>50</v>
      </c>
      <c r="B53" s="116" t="s">
        <v>290</v>
      </c>
      <c r="C53" s="117" t="s">
        <v>5</v>
      </c>
      <c r="D53" s="206"/>
      <c r="E53" s="32"/>
      <c r="F53" s="32"/>
      <c r="G53" s="36"/>
      <c r="H53" s="32"/>
      <c r="I53" s="32"/>
      <c r="J53" s="211"/>
      <c r="K53" s="211"/>
      <c r="L53" s="211"/>
      <c r="M53" s="32"/>
      <c r="N53" s="51">
        <f t="shared" si="1"/>
        <v>0</v>
      </c>
      <c r="O53" s="78">
        <f t="shared" si="4"/>
        <v>0</v>
      </c>
      <c r="P53" s="273">
        <f t="shared" si="2"/>
        <v>0</v>
      </c>
      <c r="Q53" s="270">
        <v>270000</v>
      </c>
      <c r="R53" s="53">
        <f t="shared" si="3"/>
        <v>0</v>
      </c>
      <c r="S53" s="371"/>
      <c r="T53" s="359"/>
    </row>
    <row r="54" spans="1:21" s="55" customFormat="1" ht="15.6" hidden="1" customHeight="1" x14ac:dyDescent="0.3">
      <c r="A54" s="294">
        <f t="shared" si="5"/>
        <v>51</v>
      </c>
      <c r="B54" s="159" t="s">
        <v>288</v>
      </c>
      <c r="C54" s="160" t="s">
        <v>5</v>
      </c>
      <c r="D54" s="206"/>
      <c r="E54" s="32"/>
      <c r="F54" s="32"/>
      <c r="G54" s="36"/>
      <c r="H54" s="32"/>
      <c r="I54" s="32"/>
      <c r="J54" s="211"/>
      <c r="K54" s="211"/>
      <c r="L54" s="211"/>
      <c r="M54" s="32"/>
      <c r="N54" s="51">
        <f t="shared" si="1"/>
        <v>0</v>
      </c>
      <c r="O54" s="78">
        <f t="shared" si="4"/>
        <v>0</v>
      </c>
      <c r="P54" s="273">
        <f t="shared" si="2"/>
        <v>0</v>
      </c>
      <c r="Q54" s="270">
        <v>270000</v>
      </c>
      <c r="R54" s="53">
        <f t="shared" si="3"/>
        <v>0</v>
      </c>
      <c r="S54" s="371"/>
      <c r="T54" s="362"/>
    </row>
    <row r="55" spans="1:21" s="31" customFormat="1" hidden="1" x14ac:dyDescent="0.3">
      <c r="A55" s="61">
        <f t="shared" si="5"/>
        <v>52</v>
      </c>
      <c r="B55" s="116" t="s">
        <v>291</v>
      </c>
      <c r="C55" s="117" t="s">
        <v>5</v>
      </c>
      <c r="D55" s="206"/>
      <c r="E55" s="32"/>
      <c r="F55" s="32"/>
      <c r="G55" s="36"/>
      <c r="H55" s="32"/>
      <c r="I55" s="32"/>
      <c r="J55" s="211"/>
      <c r="K55" s="211"/>
      <c r="L55" s="211"/>
      <c r="M55" s="32"/>
      <c r="N55" s="51">
        <f t="shared" si="1"/>
        <v>0</v>
      </c>
      <c r="O55" s="78">
        <f t="shared" si="4"/>
        <v>0</v>
      </c>
      <c r="P55" s="273">
        <f t="shared" si="2"/>
        <v>0</v>
      </c>
      <c r="Q55" s="270">
        <v>270000</v>
      </c>
      <c r="R55" s="53">
        <f>P55*Q55</f>
        <v>0</v>
      </c>
      <c r="S55" s="371"/>
      <c r="T55" s="359"/>
    </row>
    <row r="56" spans="1:21" s="55" customFormat="1" ht="15.6" hidden="1" customHeight="1" x14ac:dyDescent="0.3">
      <c r="A56" s="294">
        <f t="shared" si="5"/>
        <v>53</v>
      </c>
      <c r="B56" s="159" t="s">
        <v>295</v>
      </c>
      <c r="C56" s="160" t="s">
        <v>5</v>
      </c>
      <c r="D56" s="206"/>
      <c r="E56" s="32"/>
      <c r="F56" s="32"/>
      <c r="G56" s="36"/>
      <c r="H56" s="32"/>
      <c r="I56" s="32"/>
      <c r="J56" s="211"/>
      <c r="K56" s="211"/>
      <c r="L56" s="211"/>
      <c r="M56" s="32"/>
      <c r="N56" s="51">
        <f t="shared" si="1"/>
        <v>0</v>
      </c>
      <c r="O56" s="78">
        <f t="shared" si="4"/>
        <v>0</v>
      </c>
      <c r="P56" s="273">
        <f t="shared" si="2"/>
        <v>0</v>
      </c>
      <c r="Q56" s="270">
        <v>280000</v>
      </c>
      <c r="R56" s="53">
        <f>P56*Q56</f>
        <v>0</v>
      </c>
      <c r="S56" s="371"/>
      <c r="T56" s="362"/>
      <c r="U56" s="295"/>
    </row>
    <row r="57" spans="1:21" s="31" customFormat="1" hidden="1" x14ac:dyDescent="0.3">
      <c r="A57" s="61">
        <f t="shared" si="5"/>
        <v>54</v>
      </c>
      <c r="B57" s="116" t="s">
        <v>296</v>
      </c>
      <c r="C57" s="117" t="s">
        <v>5</v>
      </c>
      <c r="D57" s="206"/>
      <c r="E57" s="32"/>
      <c r="F57" s="32"/>
      <c r="G57" s="36"/>
      <c r="H57" s="32"/>
      <c r="I57" s="32"/>
      <c r="J57" s="211"/>
      <c r="K57" s="211"/>
      <c r="L57" s="211"/>
      <c r="M57" s="32"/>
      <c r="N57" s="51">
        <f t="shared" si="1"/>
        <v>0</v>
      </c>
      <c r="O57" s="78">
        <f t="shared" si="4"/>
        <v>0</v>
      </c>
      <c r="P57" s="273">
        <f t="shared" si="2"/>
        <v>0</v>
      </c>
      <c r="Q57" s="270">
        <v>270000</v>
      </c>
      <c r="R57" s="53">
        <f t="shared" si="3"/>
        <v>0</v>
      </c>
      <c r="S57" s="371"/>
      <c r="T57" s="359"/>
    </row>
    <row r="58" spans="1:21" s="31" customFormat="1" hidden="1" x14ac:dyDescent="0.3">
      <c r="A58" s="61">
        <f t="shared" si="5"/>
        <v>55</v>
      </c>
      <c r="B58" s="116" t="s">
        <v>297</v>
      </c>
      <c r="C58" s="117" t="s">
        <v>4</v>
      </c>
      <c r="D58" s="206"/>
      <c r="E58" s="32"/>
      <c r="F58" s="32"/>
      <c r="G58" s="36"/>
      <c r="H58" s="32"/>
      <c r="I58" s="32"/>
      <c r="J58" s="211"/>
      <c r="K58" s="211"/>
      <c r="L58" s="211"/>
      <c r="M58" s="32"/>
      <c r="N58" s="51">
        <f t="shared" si="1"/>
        <v>0</v>
      </c>
      <c r="O58" s="78">
        <f t="shared" si="4"/>
        <v>0</v>
      </c>
      <c r="P58" s="273">
        <f t="shared" si="2"/>
        <v>0</v>
      </c>
      <c r="Q58" s="270">
        <v>360000</v>
      </c>
      <c r="R58" s="53">
        <f t="shared" si="3"/>
        <v>0</v>
      </c>
      <c r="S58" s="371"/>
      <c r="T58" s="359"/>
    </row>
    <row r="59" spans="1:21" s="31" customFormat="1" hidden="1" x14ac:dyDescent="0.3">
      <c r="A59" s="61">
        <f t="shared" si="5"/>
        <v>56</v>
      </c>
      <c r="B59" s="116" t="s">
        <v>298</v>
      </c>
      <c r="C59" s="117" t="s">
        <v>5</v>
      </c>
      <c r="D59" s="206"/>
      <c r="E59" s="32"/>
      <c r="F59" s="32"/>
      <c r="G59" s="36"/>
      <c r="H59" s="32"/>
      <c r="I59" s="32"/>
      <c r="J59" s="211"/>
      <c r="K59" s="211"/>
      <c r="L59" s="211"/>
      <c r="M59" s="32"/>
      <c r="N59" s="51">
        <f t="shared" si="1"/>
        <v>0</v>
      </c>
      <c r="O59" s="78">
        <f t="shared" si="4"/>
        <v>0</v>
      </c>
      <c r="P59" s="273">
        <f t="shared" si="2"/>
        <v>0</v>
      </c>
      <c r="Q59" s="270">
        <v>270000</v>
      </c>
      <c r="R59" s="53">
        <f t="shared" si="3"/>
        <v>0</v>
      </c>
      <c r="S59" s="371"/>
      <c r="T59" s="359"/>
    </row>
    <row r="60" spans="1:21" s="31" customFormat="1" hidden="1" x14ac:dyDescent="0.3">
      <c r="A60" s="61">
        <f t="shared" si="5"/>
        <v>57</v>
      </c>
      <c r="B60" s="116" t="s">
        <v>356</v>
      </c>
      <c r="C60" s="117" t="s">
        <v>5</v>
      </c>
      <c r="D60" s="206"/>
      <c r="E60" s="32"/>
      <c r="F60" s="32"/>
      <c r="G60" s="36"/>
      <c r="H60" s="32"/>
      <c r="I60" s="32"/>
      <c r="J60" s="211"/>
      <c r="K60" s="211"/>
      <c r="L60" s="211"/>
      <c r="M60" s="32"/>
      <c r="N60" s="51">
        <f t="shared" si="1"/>
        <v>0</v>
      </c>
      <c r="O60" s="78">
        <f t="shared" si="4"/>
        <v>0</v>
      </c>
      <c r="P60" s="273">
        <f t="shared" si="2"/>
        <v>0</v>
      </c>
      <c r="Q60" s="270">
        <v>260000</v>
      </c>
      <c r="R60" s="53">
        <f t="shared" si="3"/>
        <v>0</v>
      </c>
      <c r="S60" s="371"/>
      <c r="T60" s="359"/>
    </row>
    <row r="61" spans="1:21" s="31" customFormat="1" hidden="1" x14ac:dyDescent="0.3">
      <c r="A61" s="61">
        <f t="shared" si="5"/>
        <v>58</v>
      </c>
      <c r="B61" s="116" t="s">
        <v>361</v>
      </c>
      <c r="C61" s="117" t="s">
        <v>4</v>
      </c>
      <c r="D61" s="206"/>
      <c r="E61" s="32"/>
      <c r="F61" s="32"/>
      <c r="G61" s="36"/>
      <c r="H61" s="32"/>
      <c r="I61" s="32"/>
      <c r="J61" s="211"/>
      <c r="K61" s="211"/>
      <c r="L61" s="211"/>
      <c r="M61" s="32"/>
      <c r="N61" s="162">
        <f t="shared" si="1"/>
        <v>0</v>
      </c>
      <c r="O61" s="163">
        <f t="shared" si="4"/>
        <v>0</v>
      </c>
      <c r="P61" s="273">
        <f t="shared" si="2"/>
        <v>0</v>
      </c>
      <c r="Q61" s="270">
        <v>360000</v>
      </c>
      <c r="R61" s="53">
        <f t="shared" si="3"/>
        <v>0</v>
      </c>
      <c r="S61" s="371"/>
      <c r="T61" s="359"/>
    </row>
    <row r="62" spans="1:21" s="31" customFormat="1" hidden="1" x14ac:dyDescent="0.3">
      <c r="A62" s="61">
        <f t="shared" si="5"/>
        <v>59</v>
      </c>
      <c r="B62" s="116" t="s">
        <v>362</v>
      </c>
      <c r="C62" s="117" t="s">
        <v>5</v>
      </c>
      <c r="D62" s="206"/>
      <c r="E62" s="32"/>
      <c r="F62" s="32"/>
      <c r="G62" s="36"/>
      <c r="H62" s="32"/>
      <c r="I62" s="32"/>
      <c r="J62" s="211"/>
      <c r="K62" s="211"/>
      <c r="L62" s="211"/>
      <c r="M62" s="32"/>
      <c r="N62" s="162">
        <f t="shared" si="1"/>
        <v>0</v>
      </c>
      <c r="O62" s="163">
        <f t="shared" si="4"/>
        <v>0</v>
      </c>
      <c r="P62" s="273">
        <f t="shared" si="2"/>
        <v>0</v>
      </c>
      <c r="Q62" s="270">
        <v>260000</v>
      </c>
      <c r="R62" s="53">
        <f t="shared" si="3"/>
        <v>0</v>
      </c>
      <c r="S62" s="371"/>
      <c r="T62" s="359"/>
    </row>
    <row r="63" spans="1:21" s="31" customFormat="1" hidden="1" x14ac:dyDescent="0.3">
      <c r="A63" s="61">
        <f t="shared" si="5"/>
        <v>60</v>
      </c>
      <c r="B63" s="116" t="s">
        <v>363</v>
      </c>
      <c r="C63" s="117" t="s">
        <v>5</v>
      </c>
      <c r="D63" s="206"/>
      <c r="E63" s="32"/>
      <c r="F63" s="32"/>
      <c r="G63" s="36"/>
      <c r="H63" s="32"/>
      <c r="I63" s="32"/>
      <c r="J63" s="211"/>
      <c r="K63" s="211"/>
      <c r="L63" s="211"/>
      <c r="M63" s="32"/>
      <c r="N63" s="162">
        <f t="shared" si="1"/>
        <v>0</v>
      </c>
      <c r="O63" s="163">
        <f t="shared" si="4"/>
        <v>0</v>
      </c>
      <c r="P63" s="273">
        <f t="shared" si="2"/>
        <v>0</v>
      </c>
      <c r="Q63" s="270">
        <v>260000</v>
      </c>
      <c r="R63" s="53">
        <f t="shared" si="3"/>
        <v>0</v>
      </c>
      <c r="S63" s="371"/>
      <c r="T63" s="359"/>
    </row>
    <row r="64" spans="1:21" s="31" customFormat="1" ht="15.6" customHeight="1" x14ac:dyDescent="0.3">
      <c r="A64" s="61">
        <f t="shared" si="5"/>
        <v>61</v>
      </c>
      <c r="B64" s="116" t="s">
        <v>364</v>
      </c>
      <c r="C64" s="117" t="s">
        <v>4</v>
      </c>
      <c r="D64" s="206" t="s">
        <v>9</v>
      </c>
      <c r="E64" s="32" t="s">
        <v>9</v>
      </c>
      <c r="F64" s="32" t="s">
        <v>9</v>
      </c>
      <c r="G64" s="36"/>
      <c r="H64" s="32" t="s">
        <v>9</v>
      </c>
      <c r="I64" s="32"/>
      <c r="J64" s="211"/>
      <c r="K64" s="211"/>
      <c r="L64" s="211"/>
      <c r="M64" s="32"/>
      <c r="N64" s="162">
        <f t="shared" si="1"/>
        <v>4</v>
      </c>
      <c r="O64" s="163">
        <f t="shared" si="4"/>
        <v>0</v>
      </c>
      <c r="P64" s="273">
        <f t="shared" si="2"/>
        <v>4</v>
      </c>
      <c r="Q64" s="270">
        <v>370000</v>
      </c>
      <c r="R64" s="53">
        <f t="shared" si="3"/>
        <v>1480000</v>
      </c>
      <c r="S64" s="371"/>
      <c r="T64" s="359"/>
    </row>
    <row r="65" spans="1:20" s="31" customFormat="1" hidden="1" x14ac:dyDescent="0.3">
      <c r="A65" s="61">
        <f t="shared" si="5"/>
        <v>62</v>
      </c>
      <c r="B65" s="116" t="s">
        <v>365</v>
      </c>
      <c r="C65" s="117" t="s">
        <v>5</v>
      </c>
      <c r="D65" s="206"/>
      <c r="E65" s="32"/>
      <c r="F65" s="32"/>
      <c r="G65" s="36"/>
      <c r="H65" s="32"/>
      <c r="I65" s="32"/>
      <c r="J65" s="211"/>
      <c r="K65" s="211"/>
      <c r="L65" s="211"/>
      <c r="M65" s="32"/>
      <c r="N65" s="162">
        <f t="shared" si="1"/>
        <v>0</v>
      </c>
      <c r="O65" s="163">
        <f t="shared" si="4"/>
        <v>0</v>
      </c>
      <c r="P65" s="273">
        <f t="shared" si="2"/>
        <v>0</v>
      </c>
      <c r="Q65" s="270">
        <v>260000</v>
      </c>
      <c r="R65" s="53">
        <f t="shared" si="3"/>
        <v>0</v>
      </c>
      <c r="S65" s="371"/>
      <c r="T65" s="359"/>
    </row>
    <row r="66" spans="1:20" s="31" customFormat="1" x14ac:dyDescent="0.3">
      <c r="A66" s="61">
        <f t="shared" si="5"/>
        <v>63</v>
      </c>
      <c r="B66" s="116" t="s">
        <v>366</v>
      </c>
      <c r="C66" s="117" t="s">
        <v>4</v>
      </c>
      <c r="D66" s="206" t="s">
        <v>9</v>
      </c>
      <c r="E66" s="32" t="s">
        <v>9</v>
      </c>
      <c r="F66" s="32" t="s">
        <v>9</v>
      </c>
      <c r="G66" s="36"/>
      <c r="H66" s="32" t="s">
        <v>9</v>
      </c>
      <c r="I66" s="32"/>
      <c r="J66" s="211"/>
      <c r="K66" s="211"/>
      <c r="L66" s="211"/>
      <c r="M66" s="32"/>
      <c r="N66" s="162">
        <f t="shared" si="1"/>
        <v>4</v>
      </c>
      <c r="O66" s="163">
        <f t="shared" si="4"/>
        <v>0</v>
      </c>
      <c r="P66" s="273">
        <f t="shared" si="2"/>
        <v>4</v>
      </c>
      <c r="Q66" s="270">
        <v>370000</v>
      </c>
      <c r="R66" s="53">
        <f t="shared" si="3"/>
        <v>1480000</v>
      </c>
      <c r="S66" s="371"/>
      <c r="T66" s="359"/>
    </row>
    <row r="67" spans="1:20" s="31" customFormat="1" hidden="1" x14ac:dyDescent="0.3">
      <c r="A67" s="61">
        <f t="shared" si="5"/>
        <v>64</v>
      </c>
      <c r="B67" s="116" t="s">
        <v>367</v>
      </c>
      <c r="C67" s="117" t="s">
        <v>5</v>
      </c>
      <c r="D67" s="206"/>
      <c r="E67" s="32"/>
      <c r="F67" s="32"/>
      <c r="G67" s="36"/>
      <c r="H67" s="32"/>
      <c r="I67" s="32"/>
      <c r="J67" s="211"/>
      <c r="K67" s="211"/>
      <c r="L67" s="211"/>
      <c r="M67" s="32"/>
      <c r="N67" s="162">
        <f t="shared" si="1"/>
        <v>0</v>
      </c>
      <c r="O67" s="163">
        <f t="shared" si="4"/>
        <v>0</v>
      </c>
      <c r="P67" s="273">
        <f t="shared" si="2"/>
        <v>0</v>
      </c>
      <c r="Q67" s="270">
        <v>260000</v>
      </c>
      <c r="R67" s="53">
        <f t="shared" si="3"/>
        <v>0</v>
      </c>
      <c r="S67" s="371"/>
      <c r="T67" s="359"/>
    </row>
    <row r="68" spans="1:20" s="31" customFormat="1" hidden="1" x14ac:dyDescent="0.3">
      <c r="A68" s="61">
        <f t="shared" si="5"/>
        <v>65</v>
      </c>
      <c r="B68" s="116" t="s">
        <v>368</v>
      </c>
      <c r="C68" s="117" t="s">
        <v>5</v>
      </c>
      <c r="D68" s="206"/>
      <c r="E68" s="32"/>
      <c r="F68" s="32"/>
      <c r="G68" s="36"/>
      <c r="H68" s="32"/>
      <c r="I68" s="32"/>
      <c r="J68" s="211"/>
      <c r="K68" s="211"/>
      <c r="L68" s="211"/>
      <c r="M68" s="32"/>
      <c r="N68" s="162">
        <f t="shared" ref="N68:N83" si="6">COUNTIF(D68:M68,"X")</f>
        <v>0</v>
      </c>
      <c r="O68" s="163">
        <f t="shared" si="4"/>
        <v>0</v>
      </c>
      <c r="P68" s="273">
        <f t="shared" ref="P68:P83" si="7">SUM(N68:O68)</f>
        <v>0</v>
      </c>
      <c r="Q68" s="270">
        <v>260000</v>
      </c>
      <c r="R68" s="53">
        <f t="shared" ref="R68:R83" si="8">P68*Q68</f>
        <v>0</v>
      </c>
      <c r="S68" s="371"/>
      <c r="T68" s="359"/>
    </row>
    <row r="69" spans="1:20" s="31" customFormat="1" hidden="1" x14ac:dyDescent="0.3">
      <c r="A69" s="61">
        <f t="shared" si="5"/>
        <v>66</v>
      </c>
      <c r="B69" s="116" t="s">
        <v>369</v>
      </c>
      <c r="C69" s="117" t="s">
        <v>5</v>
      </c>
      <c r="D69" s="206"/>
      <c r="E69" s="32"/>
      <c r="F69" s="32"/>
      <c r="G69" s="36"/>
      <c r="H69" s="32"/>
      <c r="I69" s="32"/>
      <c r="J69" s="211"/>
      <c r="K69" s="211"/>
      <c r="L69" s="211"/>
      <c r="M69" s="32"/>
      <c r="N69" s="162">
        <f t="shared" si="6"/>
        <v>0</v>
      </c>
      <c r="O69" s="163">
        <f t="shared" ref="O69:O83" si="9">COUNTIF(D69:M69,"X/2")/2</f>
        <v>0</v>
      </c>
      <c r="P69" s="273">
        <f t="shared" si="7"/>
        <v>0</v>
      </c>
      <c r="Q69" s="270">
        <v>270000</v>
      </c>
      <c r="R69" s="53">
        <f t="shared" si="8"/>
        <v>0</v>
      </c>
      <c r="S69" s="371"/>
      <c r="T69" s="359"/>
    </row>
    <row r="70" spans="1:20" s="31" customFormat="1" x14ac:dyDescent="0.3">
      <c r="A70" s="61">
        <f t="shared" si="5"/>
        <v>67</v>
      </c>
      <c r="B70" s="116" t="s">
        <v>371</v>
      </c>
      <c r="C70" s="117" t="s">
        <v>4</v>
      </c>
      <c r="D70" s="206" t="s">
        <v>9</v>
      </c>
      <c r="E70" s="32" t="s">
        <v>9</v>
      </c>
      <c r="F70" s="32" t="s">
        <v>9</v>
      </c>
      <c r="G70" s="36"/>
      <c r="H70" s="32" t="s">
        <v>9</v>
      </c>
      <c r="I70" s="32" t="s">
        <v>9</v>
      </c>
      <c r="J70" s="211" t="s">
        <v>9</v>
      </c>
      <c r="K70" s="211" t="s">
        <v>9</v>
      </c>
      <c r="L70" s="211" t="s">
        <v>9</v>
      </c>
      <c r="M70" s="32" t="s">
        <v>9</v>
      </c>
      <c r="N70" s="162">
        <f t="shared" si="6"/>
        <v>9</v>
      </c>
      <c r="O70" s="163">
        <f t="shared" si="9"/>
        <v>0</v>
      </c>
      <c r="P70" s="273">
        <f t="shared" si="7"/>
        <v>9</v>
      </c>
      <c r="Q70" s="270">
        <v>370000</v>
      </c>
      <c r="R70" s="53">
        <f t="shared" si="8"/>
        <v>3330000</v>
      </c>
      <c r="S70" s="371"/>
      <c r="T70" s="359"/>
    </row>
    <row r="71" spans="1:20" s="31" customFormat="1" hidden="1" x14ac:dyDescent="0.3">
      <c r="A71" s="61">
        <f t="shared" ref="A71:A83" si="10">A70+1</f>
        <v>68</v>
      </c>
      <c r="B71" s="116" t="s">
        <v>372</v>
      </c>
      <c r="C71" s="117" t="s">
        <v>4</v>
      </c>
      <c r="D71" s="206"/>
      <c r="E71" s="32"/>
      <c r="F71" s="32"/>
      <c r="G71" s="36"/>
      <c r="H71" s="32"/>
      <c r="I71" s="32"/>
      <c r="J71" s="211"/>
      <c r="K71" s="211"/>
      <c r="L71" s="211"/>
      <c r="M71" s="32"/>
      <c r="N71" s="162">
        <f t="shared" si="6"/>
        <v>0</v>
      </c>
      <c r="O71" s="163">
        <f t="shared" si="9"/>
        <v>0</v>
      </c>
      <c r="P71" s="273">
        <f t="shared" si="7"/>
        <v>0</v>
      </c>
      <c r="Q71" s="270">
        <v>360000</v>
      </c>
      <c r="R71" s="53">
        <f t="shared" si="8"/>
        <v>0</v>
      </c>
      <c r="S71" s="371"/>
      <c r="T71" s="359"/>
    </row>
    <row r="72" spans="1:20" s="31" customFormat="1" hidden="1" x14ac:dyDescent="0.3">
      <c r="A72" s="61">
        <f t="shared" si="10"/>
        <v>69</v>
      </c>
      <c r="B72" s="116" t="s">
        <v>373</v>
      </c>
      <c r="C72" s="117" t="s">
        <v>5</v>
      </c>
      <c r="D72" s="206"/>
      <c r="E72" s="32"/>
      <c r="F72" s="32"/>
      <c r="G72" s="36"/>
      <c r="H72" s="32"/>
      <c r="I72" s="32"/>
      <c r="J72" s="211"/>
      <c r="K72" s="211"/>
      <c r="L72" s="211"/>
      <c r="M72" s="32"/>
      <c r="N72" s="162">
        <f t="shared" si="6"/>
        <v>0</v>
      </c>
      <c r="O72" s="163">
        <f t="shared" si="9"/>
        <v>0</v>
      </c>
      <c r="P72" s="273">
        <f t="shared" si="7"/>
        <v>0</v>
      </c>
      <c r="Q72" s="270">
        <v>260000</v>
      </c>
      <c r="R72" s="53">
        <f t="shared" si="8"/>
        <v>0</v>
      </c>
      <c r="S72" s="371"/>
      <c r="T72" s="359"/>
    </row>
    <row r="73" spans="1:20" s="31" customFormat="1" hidden="1" x14ac:dyDescent="0.3">
      <c r="A73" s="61">
        <f t="shared" si="10"/>
        <v>70</v>
      </c>
      <c r="B73" s="116" t="s">
        <v>374</v>
      </c>
      <c r="C73" s="117" t="s">
        <v>4</v>
      </c>
      <c r="D73" s="206"/>
      <c r="E73" s="32"/>
      <c r="F73" s="32"/>
      <c r="G73" s="36"/>
      <c r="H73" s="32"/>
      <c r="I73" s="32"/>
      <c r="J73" s="211"/>
      <c r="K73" s="211"/>
      <c r="L73" s="211"/>
      <c r="M73" s="32"/>
      <c r="N73" s="162">
        <f t="shared" si="6"/>
        <v>0</v>
      </c>
      <c r="O73" s="163">
        <f t="shared" si="9"/>
        <v>0</v>
      </c>
      <c r="P73" s="273">
        <f t="shared" si="7"/>
        <v>0</v>
      </c>
      <c r="Q73" s="270">
        <v>360000</v>
      </c>
      <c r="R73" s="53">
        <f t="shared" si="8"/>
        <v>0</v>
      </c>
      <c r="S73" s="371"/>
      <c r="T73" s="359"/>
    </row>
    <row r="74" spans="1:20" s="31" customFormat="1" hidden="1" x14ac:dyDescent="0.3">
      <c r="A74" s="61">
        <f t="shared" si="10"/>
        <v>71</v>
      </c>
      <c r="B74" s="116" t="s">
        <v>375</v>
      </c>
      <c r="C74" s="117" t="s">
        <v>5</v>
      </c>
      <c r="D74" s="206"/>
      <c r="E74" s="32"/>
      <c r="F74" s="32"/>
      <c r="G74" s="36"/>
      <c r="H74" s="32"/>
      <c r="I74" s="32"/>
      <c r="J74" s="211"/>
      <c r="K74" s="211"/>
      <c r="L74" s="211"/>
      <c r="M74" s="32"/>
      <c r="N74" s="162">
        <f t="shared" si="6"/>
        <v>0</v>
      </c>
      <c r="O74" s="163">
        <f t="shared" si="9"/>
        <v>0</v>
      </c>
      <c r="P74" s="273">
        <f t="shared" si="7"/>
        <v>0</v>
      </c>
      <c r="Q74" s="270">
        <v>260000</v>
      </c>
      <c r="R74" s="53">
        <f t="shared" si="8"/>
        <v>0</v>
      </c>
      <c r="S74" s="371"/>
      <c r="T74" s="359"/>
    </row>
    <row r="75" spans="1:20" s="31" customFormat="1" hidden="1" x14ac:dyDescent="0.3">
      <c r="A75" s="61">
        <f t="shared" si="10"/>
        <v>72</v>
      </c>
      <c r="B75" s="159" t="s">
        <v>376</v>
      </c>
      <c r="C75" s="160" t="s">
        <v>5</v>
      </c>
      <c r="D75" s="206"/>
      <c r="E75" s="32"/>
      <c r="F75" s="32"/>
      <c r="G75" s="36"/>
      <c r="H75" s="227"/>
      <c r="I75" s="227"/>
      <c r="J75" s="229"/>
      <c r="K75" s="229"/>
      <c r="L75" s="229"/>
      <c r="M75" s="227"/>
      <c r="N75" s="162">
        <f t="shared" si="6"/>
        <v>0</v>
      </c>
      <c r="O75" s="163">
        <f t="shared" si="9"/>
        <v>0</v>
      </c>
      <c r="P75" s="273">
        <f t="shared" si="7"/>
        <v>0</v>
      </c>
      <c r="Q75" s="270">
        <v>260000</v>
      </c>
      <c r="R75" s="53">
        <f t="shared" si="8"/>
        <v>0</v>
      </c>
      <c r="S75" s="354"/>
      <c r="T75" s="364"/>
    </row>
    <row r="76" spans="1:20" s="55" customFormat="1" hidden="1" x14ac:dyDescent="0.3">
      <c r="A76" s="61">
        <f t="shared" si="10"/>
        <v>73</v>
      </c>
      <c r="B76" s="29" t="s">
        <v>387</v>
      </c>
      <c r="C76" s="25" t="s">
        <v>5</v>
      </c>
      <c r="D76" s="35"/>
      <c r="E76" s="21"/>
      <c r="F76" s="21"/>
      <c r="G76" s="21"/>
      <c r="H76" s="21"/>
      <c r="I76" s="21"/>
      <c r="J76" s="21"/>
      <c r="K76" s="21"/>
      <c r="L76" s="21"/>
      <c r="M76" s="21"/>
      <c r="N76" s="51">
        <f t="shared" si="6"/>
        <v>0</v>
      </c>
      <c r="O76" s="78">
        <f t="shared" si="9"/>
        <v>0</v>
      </c>
      <c r="P76" s="273">
        <f>SUM(N76:O76)</f>
        <v>0</v>
      </c>
      <c r="Q76" s="269">
        <v>270000</v>
      </c>
      <c r="R76" s="52">
        <f>P76*Q76</f>
        <v>0</v>
      </c>
      <c r="S76" s="372"/>
      <c r="T76" s="365"/>
    </row>
    <row r="77" spans="1:20" s="55" customFormat="1" hidden="1" x14ac:dyDescent="0.3">
      <c r="A77" s="294">
        <f>A76+1</f>
        <v>74</v>
      </c>
      <c r="B77" s="29" t="s">
        <v>394</v>
      </c>
      <c r="C77" s="25" t="s">
        <v>4</v>
      </c>
      <c r="D77" s="35"/>
      <c r="E77" s="21"/>
      <c r="F77" s="21"/>
      <c r="G77" s="21"/>
      <c r="H77" s="21"/>
      <c r="I77" s="21"/>
      <c r="J77" s="21"/>
      <c r="K77" s="21"/>
      <c r="L77" s="21"/>
      <c r="M77" s="21"/>
      <c r="N77" s="162">
        <f t="shared" si="6"/>
        <v>0</v>
      </c>
      <c r="O77" s="163">
        <f t="shared" si="9"/>
        <v>0</v>
      </c>
      <c r="P77" s="273">
        <f t="shared" si="7"/>
        <v>0</v>
      </c>
      <c r="Q77" s="269">
        <v>400000</v>
      </c>
      <c r="R77" s="53">
        <f t="shared" si="8"/>
        <v>0</v>
      </c>
      <c r="S77" s="371"/>
      <c r="T77" s="364"/>
    </row>
    <row r="78" spans="1:20" s="55" customFormat="1" x14ac:dyDescent="0.3">
      <c r="A78" s="61">
        <f t="shared" si="10"/>
        <v>75</v>
      </c>
      <c r="B78" s="29" t="s">
        <v>388</v>
      </c>
      <c r="C78" s="25" t="s">
        <v>5</v>
      </c>
      <c r="D78" s="35" t="s">
        <v>9</v>
      </c>
      <c r="E78" s="21" t="s">
        <v>9</v>
      </c>
      <c r="F78" s="21" t="s">
        <v>9</v>
      </c>
      <c r="G78" s="21"/>
      <c r="H78" s="21" t="s">
        <v>9</v>
      </c>
      <c r="I78" s="21" t="s">
        <v>9</v>
      </c>
      <c r="J78" s="21" t="s">
        <v>9</v>
      </c>
      <c r="K78" s="21"/>
      <c r="L78" s="21" t="s">
        <v>9</v>
      </c>
      <c r="M78" s="21" t="s">
        <v>9</v>
      </c>
      <c r="N78" s="162">
        <f t="shared" si="6"/>
        <v>8</v>
      </c>
      <c r="O78" s="163">
        <f t="shared" si="9"/>
        <v>0</v>
      </c>
      <c r="P78" s="273">
        <f t="shared" si="7"/>
        <v>8</v>
      </c>
      <c r="Q78" s="269">
        <v>270000</v>
      </c>
      <c r="R78" s="53">
        <f t="shared" si="8"/>
        <v>2160000</v>
      </c>
      <c r="S78" s="371"/>
      <c r="T78" s="364"/>
    </row>
    <row r="79" spans="1:20" s="55" customFormat="1" x14ac:dyDescent="0.3">
      <c r="A79" s="61">
        <f t="shared" si="10"/>
        <v>76</v>
      </c>
      <c r="B79" s="29" t="s">
        <v>389</v>
      </c>
      <c r="C79" s="25" t="s">
        <v>4</v>
      </c>
      <c r="D79" s="35" t="s">
        <v>9</v>
      </c>
      <c r="E79" s="21" t="s">
        <v>9</v>
      </c>
      <c r="F79" s="21" t="s">
        <v>9</v>
      </c>
      <c r="G79" s="21"/>
      <c r="H79" s="21" t="s">
        <v>9</v>
      </c>
      <c r="I79" s="21" t="s">
        <v>9</v>
      </c>
      <c r="J79" s="21" t="s">
        <v>9</v>
      </c>
      <c r="K79" s="21" t="s">
        <v>9</v>
      </c>
      <c r="L79" s="21" t="s">
        <v>9</v>
      </c>
      <c r="M79" s="21" t="s">
        <v>9</v>
      </c>
      <c r="N79" s="162">
        <f t="shared" si="6"/>
        <v>9</v>
      </c>
      <c r="O79" s="163">
        <f t="shared" si="9"/>
        <v>0</v>
      </c>
      <c r="P79" s="273">
        <f t="shared" si="7"/>
        <v>9</v>
      </c>
      <c r="Q79" s="269">
        <v>320000</v>
      </c>
      <c r="R79" s="53">
        <f t="shared" si="8"/>
        <v>2880000</v>
      </c>
      <c r="S79" s="371"/>
      <c r="T79" s="364"/>
    </row>
    <row r="80" spans="1:20" s="55" customFormat="1" x14ac:dyDescent="0.3">
      <c r="A80" s="61">
        <f t="shared" si="10"/>
        <v>77</v>
      </c>
      <c r="B80" s="29" t="s">
        <v>390</v>
      </c>
      <c r="C80" s="25" t="s">
        <v>5</v>
      </c>
      <c r="D80" s="35" t="s">
        <v>9</v>
      </c>
      <c r="E80" s="21" t="s">
        <v>9</v>
      </c>
      <c r="F80" s="21" t="s">
        <v>9</v>
      </c>
      <c r="G80" s="21"/>
      <c r="H80" s="21" t="s">
        <v>9</v>
      </c>
      <c r="I80" s="21" t="s">
        <v>9</v>
      </c>
      <c r="J80" s="21" t="s">
        <v>9</v>
      </c>
      <c r="K80" s="21" t="s">
        <v>9</v>
      </c>
      <c r="L80" s="21" t="s">
        <v>9</v>
      </c>
      <c r="M80" s="21" t="s">
        <v>9</v>
      </c>
      <c r="N80" s="162">
        <f t="shared" si="6"/>
        <v>9</v>
      </c>
      <c r="O80" s="163">
        <f t="shared" si="9"/>
        <v>0</v>
      </c>
      <c r="P80" s="273">
        <f t="shared" si="7"/>
        <v>9</v>
      </c>
      <c r="Q80" s="269">
        <v>270000</v>
      </c>
      <c r="R80" s="53">
        <f t="shared" si="8"/>
        <v>2430000</v>
      </c>
      <c r="S80" s="371"/>
      <c r="T80" s="364"/>
    </row>
    <row r="81" spans="1:21" s="55" customFormat="1" ht="15.6" customHeight="1" x14ac:dyDescent="0.3">
      <c r="A81" s="61">
        <f t="shared" si="10"/>
        <v>78</v>
      </c>
      <c r="B81" s="29" t="s">
        <v>391</v>
      </c>
      <c r="C81" s="25" t="s">
        <v>4</v>
      </c>
      <c r="D81" s="35" t="s">
        <v>9</v>
      </c>
      <c r="E81" s="21" t="s">
        <v>9</v>
      </c>
      <c r="F81" s="21" t="s">
        <v>9</v>
      </c>
      <c r="G81" s="21" t="s">
        <v>9</v>
      </c>
      <c r="H81" s="21" t="s">
        <v>9</v>
      </c>
      <c r="I81" s="21" t="s">
        <v>9</v>
      </c>
      <c r="J81" s="21"/>
      <c r="K81" s="21"/>
      <c r="L81" s="21"/>
      <c r="M81" s="21"/>
      <c r="N81" s="162">
        <f t="shared" si="6"/>
        <v>6</v>
      </c>
      <c r="O81" s="163">
        <f t="shared" si="9"/>
        <v>0</v>
      </c>
      <c r="P81" s="273">
        <f t="shared" si="7"/>
        <v>6</v>
      </c>
      <c r="Q81" s="269">
        <v>370000</v>
      </c>
      <c r="R81" s="53">
        <f t="shared" si="8"/>
        <v>2220000</v>
      </c>
      <c r="S81" s="371"/>
      <c r="T81" s="364"/>
    </row>
    <row r="82" spans="1:21" s="55" customFormat="1" ht="15.6" customHeight="1" x14ac:dyDescent="0.3">
      <c r="A82" s="61">
        <f t="shared" si="10"/>
        <v>79</v>
      </c>
      <c r="B82" s="29" t="s">
        <v>392</v>
      </c>
      <c r="C82" s="92" t="s">
        <v>5</v>
      </c>
      <c r="D82" s="203" t="s">
        <v>9</v>
      </c>
      <c r="E82" s="21" t="s">
        <v>9</v>
      </c>
      <c r="F82" s="21" t="s">
        <v>9</v>
      </c>
      <c r="G82" s="35" t="s">
        <v>9</v>
      </c>
      <c r="H82" s="21" t="s">
        <v>9</v>
      </c>
      <c r="I82" s="21" t="s">
        <v>9</v>
      </c>
      <c r="J82" s="210"/>
      <c r="K82" s="210"/>
      <c r="L82" s="210"/>
      <c r="M82" s="21"/>
      <c r="N82" s="51">
        <f t="shared" si="6"/>
        <v>6</v>
      </c>
      <c r="O82" s="78">
        <f t="shared" si="9"/>
        <v>0</v>
      </c>
      <c r="P82" s="273">
        <f t="shared" si="7"/>
        <v>6</v>
      </c>
      <c r="Q82" s="269">
        <v>270000</v>
      </c>
      <c r="R82" s="52">
        <f t="shared" si="8"/>
        <v>1620000</v>
      </c>
      <c r="S82" s="373"/>
      <c r="T82" s="364"/>
    </row>
    <row r="83" spans="1:21" s="55" customFormat="1" ht="15.6" customHeight="1" thickBot="1" x14ac:dyDescent="0.35">
      <c r="A83" s="390">
        <f t="shared" si="10"/>
        <v>80</v>
      </c>
      <c r="B83" s="217" t="s">
        <v>397</v>
      </c>
      <c r="C83" s="404" t="s">
        <v>5</v>
      </c>
      <c r="D83" s="346" t="s">
        <v>9</v>
      </c>
      <c r="E83" s="21" t="s">
        <v>9</v>
      </c>
      <c r="F83" s="349" t="s">
        <v>9</v>
      </c>
      <c r="G83" s="348"/>
      <c r="H83" s="349" t="s">
        <v>9</v>
      </c>
      <c r="I83" s="349" t="s">
        <v>9</v>
      </c>
      <c r="J83" s="350" t="s">
        <v>9</v>
      </c>
      <c r="K83" s="350" t="s">
        <v>9</v>
      </c>
      <c r="L83" s="350" t="s">
        <v>9</v>
      </c>
      <c r="M83" s="349" t="s">
        <v>9</v>
      </c>
      <c r="N83" s="51">
        <f t="shared" si="6"/>
        <v>9</v>
      </c>
      <c r="O83" s="78">
        <f t="shared" si="9"/>
        <v>0</v>
      </c>
      <c r="P83" s="273">
        <f t="shared" si="7"/>
        <v>9</v>
      </c>
      <c r="Q83" s="268">
        <v>270000</v>
      </c>
      <c r="R83" s="52">
        <f t="shared" si="8"/>
        <v>2430000</v>
      </c>
      <c r="S83" s="374"/>
      <c r="T83" s="366"/>
    </row>
    <row r="84" spans="1:21" s="55" customFormat="1" ht="16.2" hidden="1" thickBot="1" x14ac:dyDescent="0.35">
      <c r="A84" s="324"/>
      <c r="B84" s="306"/>
      <c r="C84" s="308"/>
      <c r="D84" s="309"/>
      <c r="E84" s="310"/>
      <c r="F84" s="311"/>
      <c r="G84" s="310"/>
      <c r="H84" s="311"/>
      <c r="I84" s="311"/>
      <c r="J84" s="312"/>
      <c r="K84" s="312"/>
      <c r="L84" s="312"/>
      <c r="M84" s="312"/>
      <c r="N84" s="319"/>
      <c r="O84" s="315"/>
      <c r="P84" s="326"/>
      <c r="Q84" s="313"/>
      <c r="R84" s="316"/>
      <c r="S84" s="372"/>
      <c r="T84" s="365"/>
    </row>
    <row r="85" spans="1:21" s="31" customFormat="1" ht="15.6" customHeight="1" thickBot="1" x14ac:dyDescent="0.35">
      <c r="A85" s="327"/>
      <c r="B85" s="328"/>
      <c r="C85" s="401"/>
      <c r="D85" s="332">
        <f t="shared" ref="D85:M85" si="11">SUBTOTAL(103,D4:D83)</f>
        <v>28</v>
      </c>
      <c r="E85" s="332">
        <f t="shared" si="11"/>
        <v>26</v>
      </c>
      <c r="F85" s="332">
        <f t="shared" si="11"/>
        <v>24</v>
      </c>
      <c r="G85" s="332">
        <f t="shared" si="11"/>
        <v>10</v>
      </c>
      <c r="H85" s="332">
        <f t="shared" si="11"/>
        <v>24</v>
      </c>
      <c r="I85" s="332">
        <f t="shared" si="11"/>
        <v>24</v>
      </c>
      <c r="J85" s="332">
        <f t="shared" si="11"/>
        <v>23</v>
      </c>
      <c r="K85" s="332">
        <f t="shared" si="11"/>
        <v>22</v>
      </c>
      <c r="L85" s="332">
        <f t="shared" si="11"/>
        <v>19</v>
      </c>
      <c r="M85" s="332">
        <f t="shared" si="11"/>
        <v>21</v>
      </c>
      <c r="N85" s="332">
        <f>SUBTOTAL(103,N4:N75)</f>
        <v>23</v>
      </c>
      <c r="O85" s="335">
        <f>SUBTOTAL(103,O4:O27)</f>
        <v>12</v>
      </c>
      <c r="P85" s="336">
        <f>SUBTOTAL(103,P4:P27)</f>
        <v>12</v>
      </c>
      <c r="Q85" s="332">
        <f>SUBTOTAL(103,Q4:Q84)</f>
        <v>29</v>
      </c>
      <c r="R85" s="337">
        <f>SUBTOTAL(109,R4:R83)</f>
        <v>75160000</v>
      </c>
      <c r="S85" s="375"/>
      <c r="T85" s="338">
        <f>SUBTOTAL(109,T4:T84)</f>
        <v>4000000</v>
      </c>
      <c r="U85" s="208"/>
    </row>
    <row r="86" spans="1:21" x14ac:dyDescent="0.3">
      <c r="R86" s="76"/>
      <c r="S86" s="76"/>
      <c r="T86" s="368">
        <f>R85-T85</f>
        <v>71160000</v>
      </c>
    </row>
    <row r="87" spans="1:21" x14ac:dyDescent="0.3">
      <c r="R87" s="76"/>
      <c r="S87" s="76"/>
      <c r="T87" s="76"/>
    </row>
    <row r="88" spans="1:21" x14ac:dyDescent="0.3">
      <c r="R88" s="76"/>
      <c r="S88" s="76"/>
    </row>
  </sheetData>
  <autoFilter ref="A3:U83">
    <filterColumn colId="17">
      <filters>
        <filter val="1,480,000"/>
        <filter val="1,620,000"/>
        <filter val="1,900,000"/>
        <filter val="2,160,000"/>
        <filter val="2,220,000"/>
        <filter val="2,400,000"/>
        <filter val="2,430,000"/>
        <filter val="2,700,000"/>
        <filter val="2,800,000"/>
        <filter val="2,880,000"/>
        <filter val="2,960,000"/>
        <filter val="270,000"/>
        <filter val="3,330,000"/>
        <filter val="3,510,000"/>
        <filter val="3,600,000"/>
        <filter val="3,800,000"/>
        <filter val="370,000"/>
        <filter val="5,500,000"/>
      </filters>
    </filterColumn>
  </autoFilter>
  <mergeCells count="10">
    <mergeCell ref="A2:A3"/>
    <mergeCell ref="B2:B3"/>
    <mergeCell ref="C2:C3"/>
    <mergeCell ref="N2:N3"/>
    <mergeCell ref="O2:O3"/>
    <mergeCell ref="P2:P3"/>
    <mergeCell ref="Q2:Q3"/>
    <mergeCell ref="R2:R3"/>
    <mergeCell ref="S2:S3"/>
    <mergeCell ref="T2:T3"/>
  </mergeCells>
  <conditionalFormatting sqref="D85:M85">
    <cfRule type="expression" dxfId="2" priority="1">
      <formula>IF(D$3="cn",1,0)</formula>
    </cfRule>
  </conditionalFormatting>
  <pageMargins left="0.2" right="0.2" top="0.2" bottom="0.2" header="0.2" footer="0.3"/>
  <pageSetup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86"/>
  <sheetViews>
    <sheetView workbookViewId="0">
      <selection activeCell="K62" sqref="K62"/>
    </sheetView>
  </sheetViews>
  <sheetFormatPr defaultRowHeight="15.6" x14ac:dyDescent="0.3"/>
  <cols>
    <col min="1" max="1" width="3.88671875" style="62" customWidth="1"/>
    <col min="2" max="2" width="20.33203125" style="1" customWidth="1"/>
    <col min="3" max="3" width="27.21875" style="1" hidden="1" customWidth="1"/>
    <col min="4" max="4" width="7.77734375" style="3" customWidth="1"/>
    <col min="5" max="7" width="5.77734375" style="129" customWidth="1"/>
    <col min="8" max="14" width="5.77734375" style="176" customWidth="1"/>
    <col min="15" max="15" width="5.77734375" style="1" hidden="1" customWidth="1"/>
    <col min="16" max="17" width="8.88671875" style="1"/>
    <col min="18" max="18" width="9.88671875" style="20" bestFit="1" customWidth="1"/>
    <col min="19" max="16384" width="8.88671875" style="1"/>
  </cols>
  <sheetData>
    <row r="1" spans="1:18" ht="24" customHeight="1" thickBot="1" x14ac:dyDescent="0.35">
      <c r="A1" s="444" t="s">
        <v>415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/>
      <c r="O1" s="444"/>
    </row>
    <row r="2" spans="1:18" s="3" customFormat="1" ht="16.2" customHeight="1" x14ac:dyDescent="0.3">
      <c r="A2" s="414" t="s">
        <v>0</v>
      </c>
      <c r="B2" s="416" t="s">
        <v>1</v>
      </c>
      <c r="C2" s="416" t="s">
        <v>79</v>
      </c>
      <c r="D2" s="424" t="s">
        <v>358</v>
      </c>
      <c r="E2" s="341">
        <v>21</v>
      </c>
      <c r="F2" s="23">
        <f t="shared" ref="F2:N2" si="0">E2+1</f>
        <v>22</v>
      </c>
      <c r="G2" s="23">
        <f t="shared" si="0"/>
        <v>23</v>
      </c>
      <c r="H2" s="23">
        <f t="shared" si="0"/>
        <v>24</v>
      </c>
      <c r="I2" s="23">
        <f t="shared" si="0"/>
        <v>25</v>
      </c>
      <c r="J2" s="23">
        <f t="shared" si="0"/>
        <v>26</v>
      </c>
      <c r="K2" s="23">
        <f t="shared" si="0"/>
        <v>27</v>
      </c>
      <c r="L2" s="23">
        <f t="shared" si="0"/>
        <v>28</v>
      </c>
      <c r="M2" s="23">
        <f t="shared" si="0"/>
        <v>29</v>
      </c>
      <c r="N2" s="23">
        <f t="shared" si="0"/>
        <v>30</v>
      </c>
      <c r="O2" s="24">
        <f t="shared" ref="O2" si="1">N2+1</f>
        <v>31</v>
      </c>
      <c r="R2" s="183"/>
    </row>
    <row r="3" spans="1:18" s="3" customFormat="1" ht="16.2" thickBot="1" x14ac:dyDescent="0.35">
      <c r="A3" s="415"/>
      <c r="B3" s="417"/>
      <c r="C3" s="417"/>
      <c r="D3" s="425"/>
      <c r="E3" s="291" t="s">
        <v>93</v>
      </c>
      <c r="F3" s="291" t="s">
        <v>94</v>
      </c>
      <c r="G3" s="342" t="s">
        <v>95</v>
      </c>
      <c r="H3" s="342" t="s">
        <v>97</v>
      </c>
      <c r="I3" s="342" t="s">
        <v>96</v>
      </c>
      <c r="J3" s="342" t="s">
        <v>98</v>
      </c>
      <c r="K3" s="342" t="s">
        <v>99</v>
      </c>
      <c r="L3" s="342" t="s">
        <v>93</v>
      </c>
      <c r="M3" s="342" t="s">
        <v>94</v>
      </c>
      <c r="N3" s="342" t="s">
        <v>95</v>
      </c>
      <c r="O3" s="389" t="s">
        <v>96</v>
      </c>
      <c r="R3" s="183"/>
    </row>
    <row r="4" spans="1:18" s="3" customFormat="1" x14ac:dyDescent="0.3">
      <c r="A4" s="130">
        <v>1</v>
      </c>
      <c r="B4" s="131" t="s">
        <v>2</v>
      </c>
      <c r="C4" s="132">
        <f>SUBTOTAL(103,C5:C22)</f>
        <v>15</v>
      </c>
      <c r="D4" s="201" t="s">
        <v>128</v>
      </c>
      <c r="E4" s="134"/>
      <c r="F4" s="264"/>
      <c r="G4" s="264"/>
      <c r="H4" s="265"/>
      <c r="I4" s="264"/>
      <c r="J4" s="264"/>
      <c r="K4" s="266"/>
      <c r="L4" s="266"/>
      <c r="M4" s="266"/>
      <c r="N4" s="264"/>
      <c r="O4" s="320"/>
      <c r="R4" s="183"/>
    </row>
    <row r="5" spans="1:18" s="31" customFormat="1" x14ac:dyDescent="0.3">
      <c r="A5" s="61">
        <v>2</v>
      </c>
      <c r="B5" s="28" t="s">
        <v>36</v>
      </c>
      <c r="C5" s="48" t="s">
        <v>60</v>
      </c>
      <c r="D5" s="202" t="s">
        <v>4</v>
      </c>
      <c r="E5" s="41"/>
      <c r="F5" s="21"/>
      <c r="G5" s="21"/>
      <c r="H5" s="35"/>
      <c r="I5" s="21"/>
      <c r="J5" s="21"/>
      <c r="K5" s="210"/>
      <c r="L5" s="210"/>
      <c r="M5" s="210"/>
      <c r="N5" s="21"/>
      <c r="O5" s="25"/>
      <c r="R5" s="259"/>
    </row>
    <row r="6" spans="1:18" s="31" customFormat="1" x14ac:dyDescent="0.3">
      <c r="A6" s="61">
        <v>3</v>
      </c>
      <c r="B6" s="28" t="s">
        <v>35</v>
      </c>
      <c r="C6" s="48" t="s">
        <v>80</v>
      </c>
      <c r="D6" s="202" t="s">
        <v>4</v>
      </c>
      <c r="E6" s="41"/>
      <c r="F6" s="21"/>
      <c r="G6" s="21"/>
      <c r="H6" s="35"/>
      <c r="I6" s="21"/>
      <c r="J6" s="21"/>
      <c r="K6" s="210"/>
      <c r="L6" s="210"/>
      <c r="M6" s="210"/>
      <c r="N6" s="21"/>
      <c r="O6" s="25"/>
      <c r="R6" s="259"/>
    </row>
    <row r="7" spans="1:18" s="31" customFormat="1" x14ac:dyDescent="0.3">
      <c r="A7" s="61">
        <f t="shared" ref="A7:A70" si="2">A6+1</f>
        <v>4</v>
      </c>
      <c r="B7" s="28" t="s">
        <v>37</v>
      </c>
      <c r="C7" s="48" t="s">
        <v>60</v>
      </c>
      <c r="D7" s="202" t="s">
        <v>4</v>
      </c>
      <c r="E7" s="41"/>
      <c r="F7" s="21"/>
      <c r="G7" s="21"/>
      <c r="H7" s="35"/>
      <c r="I7" s="21"/>
      <c r="J7" s="21"/>
      <c r="K7" s="210"/>
      <c r="L7" s="210"/>
      <c r="M7" s="210"/>
      <c r="N7" s="21"/>
      <c r="O7" s="25"/>
      <c r="R7" s="259"/>
    </row>
    <row r="8" spans="1:18" s="31" customFormat="1" x14ac:dyDescent="0.3">
      <c r="A8" s="61">
        <f t="shared" si="2"/>
        <v>5</v>
      </c>
      <c r="B8" s="28" t="s">
        <v>38</v>
      </c>
      <c r="C8" s="48" t="s">
        <v>80</v>
      </c>
      <c r="D8" s="202" t="s">
        <v>17</v>
      </c>
      <c r="E8" s="41"/>
      <c r="F8" s="21"/>
      <c r="G8" s="21"/>
      <c r="H8" s="35"/>
      <c r="I8" s="21"/>
      <c r="J8" s="21"/>
      <c r="K8" s="210"/>
      <c r="L8" s="210"/>
      <c r="M8" s="210"/>
      <c r="N8" s="21"/>
      <c r="O8" s="25"/>
      <c r="R8" s="259"/>
    </row>
    <row r="9" spans="1:18" s="31" customFormat="1" x14ac:dyDescent="0.3">
      <c r="A9" s="61">
        <f t="shared" si="2"/>
        <v>6</v>
      </c>
      <c r="B9" s="28" t="s">
        <v>145</v>
      </c>
      <c r="C9" s="48" t="s">
        <v>60</v>
      </c>
      <c r="D9" s="202" t="s">
        <v>5</v>
      </c>
      <c r="E9" s="41"/>
      <c r="F9" s="21"/>
      <c r="G9" s="21"/>
      <c r="H9" s="35"/>
      <c r="I9" s="21"/>
      <c r="J9" s="21"/>
      <c r="K9" s="210"/>
      <c r="L9" s="210"/>
      <c r="M9" s="210"/>
      <c r="N9" s="21"/>
      <c r="O9" s="25"/>
      <c r="R9" s="259"/>
    </row>
    <row r="10" spans="1:18" s="31" customFormat="1" x14ac:dyDescent="0.3">
      <c r="A10" s="61">
        <f t="shared" si="2"/>
        <v>7</v>
      </c>
      <c r="B10" s="28" t="s">
        <v>34</v>
      </c>
      <c r="C10" s="48" t="s">
        <v>80</v>
      </c>
      <c r="D10" s="202" t="s">
        <v>5</v>
      </c>
      <c r="E10" s="41"/>
      <c r="F10" s="21"/>
      <c r="G10" s="21"/>
      <c r="H10" s="35"/>
      <c r="I10" s="21"/>
      <c r="J10" s="21"/>
      <c r="K10" s="210"/>
      <c r="L10" s="210"/>
      <c r="M10" s="210"/>
      <c r="N10" s="21"/>
      <c r="O10" s="25"/>
      <c r="R10" s="259"/>
    </row>
    <row r="11" spans="1:18" s="31" customFormat="1" x14ac:dyDescent="0.3">
      <c r="A11" s="61">
        <f t="shared" si="2"/>
        <v>8</v>
      </c>
      <c r="B11" s="28" t="s">
        <v>46</v>
      </c>
      <c r="C11" s="48" t="s">
        <v>60</v>
      </c>
      <c r="D11" s="202" t="s">
        <v>5</v>
      </c>
      <c r="E11" s="41"/>
      <c r="F11" s="21"/>
      <c r="G11" s="21"/>
      <c r="H11" s="35"/>
      <c r="I11" s="21"/>
      <c r="J11" s="21"/>
      <c r="K11" s="210"/>
      <c r="L11" s="210"/>
      <c r="M11" s="210"/>
      <c r="N11" s="21"/>
      <c r="O11" s="25"/>
      <c r="R11" s="259"/>
    </row>
    <row r="12" spans="1:18" s="31" customFormat="1" x14ac:dyDescent="0.3">
      <c r="A12" s="61">
        <f t="shared" si="2"/>
        <v>9</v>
      </c>
      <c r="B12" s="28" t="s">
        <v>42</v>
      </c>
      <c r="C12" s="48" t="s">
        <v>80</v>
      </c>
      <c r="D12" s="202" t="s">
        <v>4</v>
      </c>
      <c r="E12" s="41"/>
      <c r="F12" s="21"/>
      <c r="G12" s="21"/>
      <c r="H12" s="35"/>
      <c r="I12" s="21"/>
      <c r="J12" s="21"/>
      <c r="K12" s="210"/>
      <c r="L12" s="210"/>
      <c r="M12" s="210"/>
      <c r="N12" s="21"/>
      <c r="O12" s="25"/>
      <c r="R12" s="259"/>
    </row>
    <row r="13" spans="1:18" s="31" customFormat="1" x14ac:dyDescent="0.3">
      <c r="A13" s="61">
        <v>10</v>
      </c>
      <c r="B13" s="28" t="s">
        <v>43</v>
      </c>
      <c r="C13" s="48" t="s">
        <v>80</v>
      </c>
      <c r="D13" s="202" t="s">
        <v>5</v>
      </c>
      <c r="E13" s="41"/>
      <c r="F13" s="21"/>
      <c r="G13" s="21"/>
      <c r="H13" s="35"/>
      <c r="I13" s="21"/>
      <c r="J13" s="21"/>
      <c r="K13" s="210"/>
      <c r="L13" s="210"/>
      <c r="M13" s="210"/>
      <c r="N13" s="21"/>
      <c r="O13" s="25"/>
      <c r="R13" s="259"/>
    </row>
    <row r="14" spans="1:18" s="31" customFormat="1" x14ac:dyDescent="0.3">
      <c r="A14" s="61">
        <f t="shared" si="2"/>
        <v>11</v>
      </c>
      <c r="B14" s="28" t="s">
        <v>41</v>
      </c>
      <c r="C14" s="48" t="s">
        <v>80</v>
      </c>
      <c r="D14" s="202" t="s">
        <v>4</v>
      </c>
      <c r="E14" s="41"/>
      <c r="F14" s="21"/>
      <c r="G14" s="21"/>
      <c r="H14" s="35"/>
      <c r="I14" s="21"/>
      <c r="J14" s="21"/>
      <c r="K14" s="210"/>
      <c r="L14" s="210"/>
      <c r="M14" s="210"/>
      <c r="N14" s="21"/>
      <c r="O14" s="25"/>
      <c r="R14" s="259"/>
    </row>
    <row r="15" spans="1:18" s="31" customFormat="1" x14ac:dyDescent="0.3">
      <c r="A15" s="61">
        <f t="shared" si="2"/>
        <v>12</v>
      </c>
      <c r="B15" s="28" t="s">
        <v>47</v>
      </c>
      <c r="C15" s="48"/>
      <c r="D15" s="202" t="s">
        <v>4</v>
      </c>
      <c r="E15" s="41"/>
      <c r="F15" s="21"/>
      <c r="G15" s="21"/>
      <c r="H15" s="35"/>
      <c r="I15" s="21"/>
      <c r="J15" s="21"/>
      <c r="K15" s="210"/>
      <c r="L15" s="210"/>
      <c r="M15" s="210"/>
      <c r="N15" s="21"/>
      <c r="O15" s="25"/>
      <c r="R15" s="259"/>
    </row>
    <row r="16" spans="1:18" s="31" customFormat="1" x14ac:dyDescent="0.3">
      <c r="A16" s="61">
        <f t="shared" si="2"/>
        <v>13</v>
      </c>
      <c r="B16" s="28" t="s">
        <v>61</v>
      </c>
      <c r="C16" s="48" t="s">
        <v>60</v>
      </c>
      <c r="D16" s="203" t="s">
        <v>4</v>
      </c>
      <c r="E16" s="41"/>
      <c r="F16" s="21"/>
      <c r="G16" s="21"/>
      <c r="H16" s="35"/>
      <c r="I16" s="21"/>
      <c r="J16" s="21"/>
      <c r="K16" s="210"/>
      <c r="L16" s="210"/>
      <c r="M16" s="210"/>
      <c r="N16" s="21"/>
      <c r="O16" s="25"/>
      <c r="R16" s="259"/>
    </row>
    <row r="17" spans="1:18" s="31" customFormat="1" x14ac:dyDescent="0.3">
      <c r="A17" s="61">
        <f t="shared" si="2"/>
        <v>14</v>
      </c>
      <c r="B17" s="28" t="s">
        <v>62</v>
      </c>
      <c r="C17" s="48"/>
      <c r="D17" s="203" t="s">
        <v>4</v>
      </c>
      <c r="E17" s="41"/>
      <c r="F17" s="21"/>
      <c r="G17" s="21"/>
      <c r="H17" s="35"/>
      <c r="I17" s="21"/>
      <c r="J17" s="21"/>
      <c r="K17" s="210"/>
      <c r="L17" s="210"/>
      <c r="M17" s="210"/>
      <c r="N17" s="21"/>
      <c r="O17" s="25"/>
      <c r="R17" s="259"/>
    </row>
    <row r="18" spans="1:18" s="31" customFormat="1" x14ac:dyDescent="0.3">
      <c r="A18" s="61">
        <f t="shared" si="2"/>
        <v>15</v>
      </c>
      <c r="B18" s="28" t="s">
        <v>63</v>
      </c>
      <c r="C18" s="48" t="s">
        <v>60</v>
      </c>
      <c r="D18" s="203" t="s">
        <v>4</v>
      </c>
      <c r="E18" s="41"/>
      <c r="F18" s="21"/>
      <c r="G18" s="21"/>
      <c r="H18" s="35"/>
      <c r="I18" s="21"/>
      <c r="J18" s="21"/>
      <c r="K18" s="210"/>
      <c r="L18" s="210"/>
      <c r="M18" s="210"/>
      <c r="N18" s="21"/>
      <c r="O18" s="25"/>
      <c r="R18" s="259"/>
    </row>
    <row r="19" spans="1:18" s="31" customFormat="1" x14ac:dyDescent="0.3">
      <c r="A19" s="61">
        <f t="shared" si="2"/>
        <v>16</v>
      </c>
      <c r="B19" s="28" t="s">
        <v>59</v>
      </c>
      <c r="C19" s="48" t="s">
        <v>60</v>
      </c>
      <c r="D19" s="203" t="s">
        <v>5</v>
      </c>
      <c r="E19" s="41"/>
      <c r="F19" s="21"/>
      <c r="G19" s="21"/>
      <c r="H19" s="35"/>
      <c r="I19" s="21"/>
      <c r="J19" s="21"/>
      <c r="K19" s="210"/>
      <c r="L19" s="210"/>
      <c r="M19" s="210"/>
      <c r="N19" s="21"/>
      <c r="O19" s="25"/>
      <c r="R19" s="259"/>
    </row>
    <row r="20" spans="1:18" s="31" customFormat="1" x14ac:dyDescent="0.3">
      <c r="A20" s="61">
        <f t="shared" si="2"/>
        <v>17</v>
      </c>
      <c r="B20" s="28" t="s">
        <v>64</v>
      </c>
      <c r="C20" s="48" t="s">
        <v>60</v>
      </c>
      <c r="D20" s="203" t="s">
        <v>4</v>
      </c>
      <c r="E20" s="41"/>
      <c r="F20" s="21"/>
      <c r="G20" s="21"/>
      <c r="H20" s="35"/>
      <c r="I20" s="21"/>
      <c r="J20" s="21"/>
      <c r="K20" s="210"/>
      <c r="L20" s="210"/>
      <c r="M20" s="210"/>
      <c r="N20" s="21"/>
      <c r="O20" s="25"/>
      <c r="R20" s="259"/>
    </row>
    <row r="21" spans="1:18" s="55" customFormat="1" x14ac:dyDescent="0.3">
      <c r="A21" s="61">
        <f t="shared" si="2"/>
        <v>18</v>
      </c>
      <c r="B21" s="158" t="s">
        <v>65</v>
      </c>
      <c r="C21" s="29" t="s">
        <v>60</v>
      </c>
      <c r="D21" s="203" t="s">
        <v>4</v>
      </c>
      <c r="E21" s="41"/>
      <c r="F21" s="21"/>
      <c r="G21" s="21"/>
      <c r="H21" s="35"/>
      <c r="I21" s="21"/>
      <c r="J21" s="21"/>
      <c r="K21" s="210"/>
      <c r="L21" s="210"/>
      <c r="M21" s="210"/>
      <c r="N21" s="21"/>
      <c r="O21" s="25"/>
      <c r="R21" s="260"/>
    </row>
    <row r="22" spans="1:18" s="31" customFormat="1" x14ac:dyDescent="0.3">
      <c r="A22" s="61">
        <f t="shared" si="2"/>
        <v>19</v>
      </c>
      <c r="B22" s="48" t="s">
        <v>126</v>
      </c>
      <c r="C22" s="48"/>
      <c r="D22" s="204" t="s">
        <v>5</v>
      </c>
      <c r="E22" s="41"/>
      <c r="F22" s="21"/>
      <c r="G22" s="21"/>
      <c r="H22" s="35"/>
      <c r="I22" s="21"/>
      <c r="J22" s="21"/>
      <c r="K22" s="210"/>
      <c r="L22" s="210"/>
      <c r="M22" s="210"/>
      <c r="N22" s="21"/>
      <c r="O22" s="25"/>
      <c r="R22" s="259"/>
    </row>
    <row r="23" spans="1:18" s="31" customFormat="1" x14ac:dyDescent="0.3">
      <c r="A23" s="61">
        <f t="shared" si="2"/>
        <v>20</v>
      </c>
      <c r="B23" s="116" t="s">
        <v>143</v>
      </c>
      <c r="C23" s="116"/>
      <c r="D23" s="205" t="s">
        <v>4</v>
      </c>
      <c r="E23" s="41"/>
      <c r="F23" s="21"/>
      <c r="G23" s="21"/>
      <c r="H23" s="35"/>
      <c r="I23" s="21"/>
      <c r="J23" s="21"/>
      <c r="K23" s="210"/>
      <c r="L23" s="210"/>
      <c r="M23" s="210"/>
      <c r="N23" s="21"/>
      <c r="O23" s="25"/>
      <c r="R23" s="259"/>
    </row>
    <row r="24" spans="1:18" s="31" customFormat="1" x14ac:dyDescent="0.3">
      <c r="A24" s="61">
        <f t="shared" si="2"/>
        <v>21</v>
      </c>
      <c r="B24" s="116" t="s">
        <v>144</v>
      </c>
      <c r="C24" s="116"/>
      <c r="D24" s="205" t="s">
        <v>4</v>
      </c>
      <c r="E24" s="41"/>
      <c r="F24" s="21"/>
      <c r="G24" s="21"/>
      <c r="H24" s="35"/>
      <c r="I24" s="21"/>
      <c r="J24" s="21"/>
      <c r="K24" s="210"/>
      <c r="L24" s="210"/>
      <c r="M24" s="210"/>
      <c r="N24" s="21"/>
      <c r="O24" s="25"/>
      <c r="R24" s="259"/>
    </row>
    <row r="25" spans="1:18" s="31" customFormat="1" x14ac:dyDescent="0.3">
      <c r="A25" s="61">
        <f t="shared" si="2"/>
        <v>22</v>
      </c>
      <c r="B25" s="116" t="s">
        <v>164</v>
      </c>
      <c r="C25" s="116"/>
      <c r="D25" s="205" t="s">
        <v>5</v>
      </c>
      <c r="E25" s="127"/>
      <c r="F25" s="21"/>
      <c r="G25" s="21"/>
      <c r="H25" s="35"/>
      <c r="I25" s="21"/>
      <c r="J25" s="21"/>
      <c r="K25" s="210"/>
      <c r="L25" s="210"/>
      <c r="M25" s="210"/>
      <c r="N25" s="21"/>
      <c r="O25" s="25"/>
      <c r="R25" s="259"/>
    </row>
    <row r="26" spans="1:18" s="31" customFormat="1" x14ac:dyDescent="0.3">
      <c r="A26" s="61">
        <f t="shared" si="2"/>
        <v>23</v>
      </c>
      <c r="B26" s="116" t="s">
        <v>171</v>
      </c>
      <c r="C26" s="116"/>
      <c r="D26" s="205" t="s">
        <v>5</v>
      </c>
      <c r="E26" s="127"/>
      <c r="F26" s="21"/>
      <c r="G26" s="21"/>
      <c r="H26" s="35"/>
      <c r="I26" s="21"/>
      <c r="J26" s="21"/>
      <c r="K26" s="210"/>
      <c r="L26" s="210"/>
      <c r="M26" s="210"/>
      <c r="N26" s="21"/>
      <c r="O26" s="25"/>
      <c r="R26" s="259"/>
    </row>
    <row r="27" spans="1:18" s="31" customFormat="1" x14ac:dyDescent="0.3">
      <c r="A27" s="61">
        <f t="shared" si="2"/>
        <v>24</v>
      </c>
      <c r="B27" s="116" t="s">
        <v>172</v>
      </c>
      <c r="C27" s="116"/>
      <c r="D27" s="205" t="s">
        <v>4</v>
      </c>
      <c r="E27" s="233"/>
      <c r="F27" s="21"/>
      <c r="G27" s="35"/>
      <c r="H27" s="21"/>
      <c r="I27" s="21"/>
      <c r="J27" s="21"/>
      <c r="K27" s="211"/>
      <c r="L27" s="211"/>
      <c r="M27" s="211"/>
      <c r="N27" s="32"/>
      <c r="O27" s="33"/>
      <c r="R27" s="259"/>
    </row>
    <row r="28" spans="1:18" s="31" customFormat="1" x14ac:dyDescent="0.3">
      <c r="A28" s="61">
        <v>25</v>
      </c>
      <c r="B28" s="116" t="s">
        <v>194</v>
      </c>
      <c r="C28" s="116"/>
      <c r="D28" s="205" t="s">
        <v>4</v>
      </c>
      <c r="E28" s="127"/>
      <c r="F28" s="32"/>
      <c r="G28" s="32"/>
      <c r="H28" s="36"/>
      <c r="I28" s="32"/>
      <c r="J28" s="32"/>
      <c r="K28" s="211"/>
      <c r="L28" s="211"/>
      <c r="M28" s="211"/>
      <c r="N28" s="32"/>
      <c r="O28" s="33"/>
      <c r="R28" s="259"/>
    </row>
    <row r="29" spans="1:18" s="31" customFormat="1" x14ac:dyDescent="0.3">
      <c r="A29" s="61">
        <f t="shared" si="2"/>
        <v>26</v>
      </c>
      <c r="B29" s="116" t="s">
        <v>220</v>
      </c>
      <c r="C29" s="116"/>
      <c r="D29" s="205" t="s">
        <v>4</v>
      </c>
      <c r="E29" s="127"/>
      <c r="F29" s="32"/>
      <c r="G29" s="32"/>
      <c r="H29" s="36"/>
      <c r="I29" s="32"/>
      <c r="J29" s="32"/>
      <c r="K29" s="211"/>
      <c r="L29" s="211"/>
      <c r="M29" s="211"/>
      <c r="N29" s="32"/>
      <c r="O29" s="33"/>
      <c r="R29" s="259"/>
    </row>
    <row r="30" spans="1:18" s="31" customFormat="1" x14ac:dyDescent="0.3">
      <c r="A30" s="61">
        <f t="shared" si="2"/>
        <v>27</v>
      </c>
      <c r="B30" s="116" t="s">
        <v>221</v>
      </c>
      <c r="C30" s="116"/>
      <c r="D30" s="205" t="s">
        <v>4</v>
      </c>
      <c r="E30" s="127"/>
      <c r="F30" s="32"/>
      <c r="G30" s="32"/>
      <c r="H30" s="36"/>
      <c r="I30" s="32"/>
      <c r="J30" s="32"/>
      <c r="K30" s="211"/>
      <c r="L30" s="211"/>
      <c r="M30" s="211"/>
      <c r="N30" s="32"/>
      <c r="O30" s="33"/>
      <c r="R30" s="259"/>
    </row>
    <row r="31" spans="1:18" s="31" customFormat="1" x14ac:dyDescent="0.3">
      <c r="A31" s="61">
        <f t="shared" si="2"/>
        <v>28</v>
      </c>
      <c r="B31" s="48" t="s">
        <v>222</v>
      </c>
      <c r="C31" s="48"/>
      <c r="D31" s="204" t="s">
        <v>4</v>
      </c>
      <c r="E31" s="41"/>
      <c r="F31" s="32"/>
      <c r="G31" s="32"/>
      <c r="H31" s="36"/>
      <c r="I31" s="32"/>
      <c r="J31" s="32"/>
      <c r="K31" s="211"/>
      <c r="L31" s="211"/>
      <c r="M31" s="211"/>
      <c r="N31" s="32"/>
      <c r="O31" s="33"/>
      <c r="R31" s="259"/>
    </row>
    <row r="32" spans="1:18" s="31" customFormat="1" x14ac:dyDescent="0.3">
      <c r="A32" s="61">
        <f t="shared" si="2"/>
        <v>29</v>
      </c>
      <c r="B32" s="116" t="s">
        <v>223</v>
      </c>
      <c r="C32" s="116"/>
      <c r="D32" s="205" t="s">
        <v>5</v>
      </c>
      <c r="E32" s="41"/>
      <c r="F32" s="32"/>
      <c r="G32" s="32"/>
      <c r="H32" s="36"/>
      <c r="I32" s="32"/>
      <c r="J32" s="32"/>
      <c r="K32" s="211"/>
      <c r="L32" s="211"/>
      <c r="M32" s="211"/>
      <c r="N32" s="32"/>
      <c r="O32" s="33"/>
      <c r="R32" s="259"/>
    </row>
    <row r="33" spans="1:18" s="31" customFormat="1" x14ac:dyDescent="0.3">
      <c r="A33" s="61">
        <f t="shared" si="2"/>
        <v>30</v>
      </c>
      <c r="B33" s="116" t="s">
        <v>224</v>
      </c>
      <c r="C33" s="116"/>
      <c r="D33" s="205" t="s">
        <v>4</v>
      </c>
      <c r="E33" s="127"/>
      <c r="F33" s="32"/>
      <c r="G33" s="32"/>
      <c r="H33" s="36"/>
      <c r="I33" s="32"/>
      <c r="J33" s="32"/>
      <c r="K33" s="211"/>
      <c r="L33" s="211"/>
      <c r="M33" s="211"/>
      <c r="N33" s="32"/>
      <c r="O33" s="33"/>
      <c r="R33" s="259"/>
    </row>
    <row r="34" spans="1:18" s="31" customFormat="1" x14ac:dyDescent="0.3">
      <c r="A34" s="61">
        <f t="shared" si="2"/>
        <v>31</v>
      </c>
      <c r="B34" s="116" t="s">
        <v>225</v>
      </c>
      <c r="C34" s="116"/>
      <c r="D34" s="205" t="s">
        <v>5</v>
      </c>
      <c r="E34" s="127"/>
      <c r="F34" s="32"/>
      <c r="G34" s="32"/>
      <c r="H34" s="36"/>
      <c r="I34" s="32"/>
      <c r="J34" s="32"/>
      <c r="K34" s="211"/>
      <c r="L34" s="211"/>
      <c r="M34" s="211"/>
      <c r="N34" s="32"/>
      <c r="O34" s="33"/>
      <c r="R34" s="259"/>
    </row>
    <row r="35" spans="1:18" s="31" customFormat="1" x14ac:dyDescent="0.3">
      <c r="A35" s="61">
        <f t="shared" si="2"/>
        <v>32</v>
      </c>
      <c r="B35" s="116" t="s">
        <v>226</v>
      </c>
      <c r="C35" s="116"/>
      <c r="D35" s="205" t="s">
        <v>4</v>
      </c>
      <c r="E35" s="127"/>
      <c r="F35" s="32"/>
      <c r="G35" s="32"/>
      <c r="H35" s="36"/>
      <c r="I35" s="32"/>
      <c r="J35" s="32"/>
      <c r="K35" s="211"/>
      <c r="L35" s="211"/>
      <c r="M35" s="211"/>
      <c r="N35" s="32"/>
      <c r="O35" s="33"/>
      <c r="R35" s="259"/>
    </row>
    <row r="36" spans="1:18" s="31" customFormat="1" x14ac:dyDescent="0.3">
      <c r="A36" s="61">
        <f t="shared" si="2"/>
        <v>33</v>
      </c>
      <c r="B36" s="116" t="s">
        <v>229</v>
      </c>
      <c r="C36" s="116"/>
      <c r="D36" s="205" t="s">
        <v>5</v>
      </c>
      <c r="E36" s="127"/>
      <c r="F36" s="32"/>
      <c r="G36" s="32"/>
      <c r="H36" s="36"/>
      <c r="I36" s="32"/>
      <c r="J36" s="32"/>
      <c r="K36" s="211"/>
      <c r="L36" s="211"/>
      <c r="M36" s="211"/>
      <c r="N36" s="32"/>
      <c r="O36" s="33"/>
      <c r="R36" s="259"/>
    </row>
    <row r="37" spans="1:18" s="55" customFormat="1" x14ac:dyDescent="0.3">
      <c r="A37" s="61">
        <f t="shared" si="2"/>
        <v>34</v>
      </c>
      <c r="B37" s="159" t="s">
        <v>230</v>
      </c>
      <c r="C37" s="159"/>
      <c r="D37" s="206" t="s">
        <v>5</v>
      </c>
      <c r="E37" s="127"/>
      <c r="F37" s="32"/>
      <c r="G37" s="32"/>
      <c r="H37" s="36"/>
      <c r="I37" s="32"/>
      <c r="J37" s="32"/>
      <c r="K37" s="211"/>
      <c r="L37" s="211"/>
      <c r="M37" s="211"/>
      <c r="N37" s="32"/>
      <c r="O37" s="33"/>
      <c r="R37" s="260"/>
    </row>
    <row r="38" spans="1:18" s="31" customFormat="1" x14ac:dyDescent="0.3">
      <c r="A38" s="61">
        <f t="shared" si="2"/>
        <v>35</v>
      </c>
      <c r="B38" s="116" t="s">
        <v>231</v>
      </c>
      <c r="C38" s="116"/>
      <c r="D38" s="205" t="s">
        <v>4</v>
      </c>
      <c r="E38" s="127"/>
      <c r="F38" s="32"/>
      <c r="G38" s="32"/>
      <c r="H38" s="36"/>
      <c r="I38" s="32"/>
      <c r="J38" s="32"/>
      <c r="K38" s="211"/>
      <c r="L38" s="211"/>
      <c r="M38" s="211"/>
      <c r="N38" s="32"/>
      <c r="O38" s="33"/>
      <c r="R38" s="259"/>
    </row>
    <row r="39" spans="1:18" s="31" customFormat="1" x14ac:dyDescent="0.3">
      <c r="A39" s="61">
        <f t="shared" si="2"/>
        <v>36</v>
      </c>
      <c r="B39" s="116" t="s">
        <v>232</v>
      </c>
      <c r="C39" s="116"/>
      <c r="D39" s="205" t="s">
        <v>4</v>
      </c>
      <c r="E39" s="127"/>
      <c r="F39" s="32"/>
      <c r="G39" s="32"/>
      <c r="H39" s="36"/>
      <c r="I39" s="32"/>
      <c r="J39" s="32"/>
      <c r="K39" s="211"/>
      <c r="L39" s="211"/>
      <c r="M39" s="211"/>
      <c r="N39" s="32"/>
      <c r="O39" s="33"/>
      <c r="R39" s="259"/>
    </row>
    <row r="40" spans="1:18" s="31" customFormat="1" x14ac:dyDescent="0.3">
      <c r="A40" s="61">
        <f t="shared" si="2"/>
        <v>37</v>
      </c>
      <c r="B40" s="116" t="s">
        <v>233</v>
      </c>
      <c r="C40" s="116"/>
      <c r="D40" s="205" t="s">
        <v>5</v>
      </c>
      <c r="E40" s="127"/>
      <c r="F40" s="32"/>
      <c r="G40" s="32"/>
      <c r="H40" s="36"/>
      <c r="I40" s="32"/>
      <c r="J40" s="32"/>
      <c r="K40" s="211"/>
      <c r="L40" s="211"/>
      <c r="M40" s="211"/>
      <c r="N40" s="32"/>
      <c r="O40" s="33"/>
      <c r="R40" s="259"/>
    </row>
    <row r="41" spans="1:18" s="31" customFormat="1" x14ac:dyDescent="0.3">
      <c r="A41" s="61">
        <f t="shared" si="2"/>
        <v>38</v>
      </c>
      <c r="B41" s="116" t="s">
        <v>45</v>
      </c>
      <c r="C41" s="116"/>
      <c r="D41" s="205" t="s">
        <v>4</v>
      </c>
      <c r="E41" s="127"/>
      <c r="F41" s="32"/>
      <c r="G41" s="32"/>
      <c r="H41" s="36"/>
      <c r="I41" s="32"/>
      <c r="J41" s="32"/>
      <c r="K41" s="211"/>
      <c r="L41" s="211"/>
      <c r="M41" s="211"/>
      <c r="N41" s="32"/>
      <c r="O41" s="33"/>
      <c r="R41" s="259"/>
    </row>
    <row r="42" spans="1:18" s="31" customFormat="1" x14ac:dyDescent="0.3">
      <c r="A42" s="61">
        <f t="shared" si="2"/>
        <v>39</v>
      </c>
      <c r="B42" s="116" t="s">
        <v>236</v>
      </c>
      <c r="C42" s="116"/>
      <c r="D42" s="205" t="s">
        <v>5</v>
      </c>
      <c r="E42" s="127"/>
      <c r="F42" s="32"/>
      <c r="G42" s="32"/>
      <c r="H42" s="36"/>
      <c r="I42" s="32"/>
      <c r="J42" s="32"/>
      <c r="K42" s="211"/>
      <c r="L42" s="211"/>
      <c r="M42" s="211"/>
      <c r="N42" s="32"/>
      <c r="O42" s="33"/>
      <c r="R42" s="259"/>
    </row>
    <row r="43" spans="1:18" s="31" customFormat="1" x14ac:dyDescent="0.3">
      <c r="A43" s="61">
        <f t="shared" si="2"/>
        <v>40</v>
      </c>
      <c r="B43" s="116" t="s">
        <v>235</v>
      </c>
      <c r="C43" s="116"/>
      <c r="D43" s="205" t="s">
        <v>4</v>
      </c>
      <c r="E43" s="127"/>
      <c r="F43" s="32"/>
      <c r="G43" s="32"/>
      <c r="H43" s="36"/>
      <c r="I43" s="32"/>
      <c r="J43" s="32"/>
      <c r="K43" s="211"/>
      <c r="L43" s="211"/>
      <c r="M43" s="211"/>
      <c r="N43" s="32"/>
      <c r="O43" s="33"/>
      <c r="R43" s="259"/>
    </row>
    <row r="44" spans="1:18" s="31" customFormat="1" x14ac:dyDescent="0.3">
      <c r="A44" s="61">
        <f t="shared" si="2"/>
        <v>41</v>
      </c>
      <c r="B44" s="116" t="s">
        <v>237</v>
      </c>
      <c r="C44" s="116"/>
      <c r="D44" s="205" t="s">
        <v>5</v>
      </c>
      <c r="E44" s="127"/>
      <c r="F44" s="32"/>
      <c r="G44" s="32"/>
      <c r="H44" s="36"/>
      <c r="I44" s="32"/>
      <c r="J44" s="32"/>
      <c r="K44" s="211"/>
      <c r="L44" s="211"/>
      <c r="M44" s="211"/>
      <c r="N44" s="32"/>
      <c r="O44" s="33"/>
      <c r="R44" s="259"/>
    </row>
    <row r="45" spans="1:18" s="31" customFormat="1" x14ac:dyDescent="0.3">
      <c r="A45" s="61">
        <f t="shared" si="2"/>
        <v>42</v>
      </c>
      <c r="B45" s="116" t="s">
        <v>238</v>
      </c>
      <c r="C45" s="116"/>
      <c r="D45" s="205" t="s">
        <v>5</v>
      </c>
      <c r="E45" s="127"/>
      <c r="F45" s="32"/>
      <c r="G45" s="32"/>
      <c r="H45" s="32"/>
      <c r="I45" s="36"/>
      <c r="J45" s="32"/>
      <c r="K45" s="211"/>
      <c r="L45" s="211"/>
      <c r="M45" s="211"/>
      <c r="N45" s="32"/>
      <c r="O45" s="33"/>
      <c r="R45" s="259"/>
    </row>
    <row r="46" spans="1:18" s="31" customFormat="1" x14ac:dyDescent="0.3">
      <c r="A46" s="61">
        <f t="shared" si="2"/>
        <v>43</v>
      </c>
      <c r="B46" s="48" t="s">
        <v>239</v>
      </c>
      <c r="C46" s="48"/>
      <c r="D46" s="204" t="s">
        <v>5</v>
      </c>
      <c r="E46" s="41"/>
      <c r="F46" s="21"/>
      <c r="G46" s="21"/>
      <c r="H46" s="35"/>
      <c r="I46" s="21"/>
      <c r="J46" s="21"/>
      <c r="K46" s="210"/>
      <c r="L46" s="210"/>
      <c r="M46" s="210"/>
      <c r="N46" s="21"/>
      <c r="O46" s="25"/>
      <c r="R46" s="259"/>
    </row>
    <row r="47" spans="1:18" s="31" customFormat="1" x14ac:dyDescent="0.3">
      <c r="A47" s="61">
        <f t="shared" si="2"/>
        <v>44</v>
      </c>
      <c r="B47" s="116" t="s">
        <v>240</v>
      </c>
      <c r="C47" s="116"/>
      <c r="D47" s="205" t="s">
        <v>4</v>
      </c>
      <c r="E47" s="127"/>
      <c r="F47" s="32"/>
      <c r="G47" s="32"/>
      <c r="H47" s="36"/>
      <c r="I47" s="32"/>
      <c r="J47" s="32"/>
      <c r="K47" s="211"/>
      <c r="L47" s="211"/>
      <c r="M47" s="211"/>
      <c r="N47" s="32"/>
      <c r="O47" s="33"/>
      <c r="R47" s="259"/>
    </row>
    <row r="48" spans="1:18" s="31" customFormat="1" x14ac:dyDescent="0.3">
      <c r="A48" s="61">
        <f t="shared" si="2"/>
        <v>45</v>
      </c>
      <c r="B48" s="116" t="s">
        <v>241</v>
      </c>
      <c r="C48" s="116"/>
      <c r="D48" s="205" t="s">
        <v>4</v>
      </c>
      <c r="E48" s="127"/>
      <c r="F48" s="32"/>
      <c r="G48" s="32"/>
      <c r="H48" s="36"/>
      <c r="I48" s="32"/>
      <c r="J48" s="32"/>
      <c r="K48" s="211"/>
      <c r="L48" s="211"/>
      <c r="M48" s="211"/>
      <c r="N48" s="32"/>
      <c r="O48" s="33"/>
      <c r="R48" s="259"/>
    </row>
    <row r="49" spans="1:18" s="31" customFormat="1" x14ac:dyDescent="0.3">
      <c r="A49" s="61">
        <f t="shared" si="2"/>
        <v>46</v>
      </c>
      <c r="B49" s="116" t="s">
        <v>242</v>
      </c>
      <c r="C49" s="116"/>
      <c r="D49" s="205" t="s">
        <v>5</v>
      </c>
      <c r="E49" s="127"/>
      <c r="F49" s="32"/>
      <c r="G49" s="32"/>
      <c r="H49" s="36"/>
      <c r="I49" s="32"/>
      <c r="J49" s="32"/>
      <c r="K49" s="211"/>
      <c r="L49" s="211"/>
      <c r="M49" s="211"/>
      <c r="N49" s="32"/>
      <c r="O49" s="33"/>
      <c r="R49" s="259"/>
    </row>
    <row r="50" spans="1:18" s="31" customFormat="1" x14ac:dyDescent="0.3">
      <c r="A50" s="61">
        <f t="shared" si="2"/>
        <v>47</v>
      </c>
      <c r="B50" s="48" t="s">
        <v>243</v>
      </c>
      <c r="C50" s="48"/>
      <c r="D50" s="204" t="s">
        <v>5</v>
      </c>
      <c r="E50" s="41"/>
      <c r="F50" s="32"/>
      <c r="G50" s="32"/>
      <c r="H50" s="36"/>
      <c r="I50" s="32"/>
      <c r="J50" s="32"/>
      <c r="K50" s="211"/>
      <c r="L50" s="211"/>
      <c r="M50" s="211"/>
      <c r="N50" s="32"/>
      <c r="O50" s="33"/>
      <c r="R50" s="259"/>
    </row>
    <row r="51" spans="1:18" s="31" customFormat="1" x14ac:dyDescent="0.3">
      <c r="A51" s="61">
        <f t="shared" si="2"/>
        <v>48</v>
      </c>
      <c r="B51" s="116" t="s">
        <v>287</v>
      </c>
      <c r="C51" s="116"/>
      <c r="D51" s="205" t="s">
        <v>4</v>
      </c>
      <c r="E51" s="127"/>
      <c r="F51" s="32"/>
      <c r="G51" s="32"/>
      <c r="H51" s="36"/>
      <c r="I51" s="32"/>
      <c r="J51" s="32"/>
      <c r="K51" s="211"/>
      <c r="L51" s="211"/>
      <c r="M51" s="211"/>
      <c r="N51" s="32"/>
      <c r="O51" s="33"/>
      <c r="R51" s="259"/>
    </row>
    <row r="52" spans="1:18" s="31" customFormat="1" x14ac:dyDescent="0.3">
      <c r="A52" s="61">
        <f t="shared" si="2"/>
        <v>49</v>
      </c>
      <c r="B52" s="116" t="s">
        <v>289</v>
      </c>
      <c r="C52" s="116"/>
      <c r="D52" s="205" t="s">
        <v>4</v>
      </c>
      <c r="E52" s="127"/>
      <c r="F52" s="32"/>
      <c r="G52" s="32"/>
      <c r="H52" s="36"/>
      <c r="I52" s="32"/>
      <c r="J52" s="32"/>
      <c r="K52" s="211"/>
      <c r="L52" s="211"/>
      <c r="M52" s="211"/>
      <c r="N52" s="32"/>
      <c r="O52" s="33"/>
      <c r="R52" s="259"/>
    </row>
    <row r="53" spans="1:18" s="31" customFormat="1" x14ac:dyDescent="0.3">
      <c r="A53" s="61">
        <f t="shared" si="2"/>
        <v>50</v>
      </c>
      <c r="B53" s="116" t="s">
        <v>290</v>
      </c>
      <c r="C53" s="116"/>
      <c r="D53" s="205" t="s">
        <v>5</v>
      </c>
      <c r="E53" s="127"/>
      <c r="F53" s="32"/>
      <c r="G53" s="32"/>
      <c r="H53" s="36"/>
      <c r="I53" s="32"/>
      <c r="J53" s="32"/>
      <c r="K53" s="211"/>
      <c r="L53" s="211"/>
      <c r="M53" s="211"/>
      <c r="N53" s="32"/>
      <c r="O53" s="33"/>
      <c r="R53" s="259"/>
    </row>
    <row r="54" spans="1:18" s="31" customFormat="1" x14ac:dyDescent="0.3">
      <c r="A54" s="61">
        <f t="shared" si="2"/>
        <v>51</v>
      </c>
      <c r="B54" s="116" t="s">
        <v>288</v>
      </c>
      <c r="C54" s="116"/>
      <c r="D54" s="205" t="s">
        <v>5</v>
      </c>
      <c r="E54" s="127"/>
      <c r="F54" s="32"/>
      <c r="G54" s="32"/>
      <c r="H54" s="36"/>
      <c r="I54" s="32"/>
      <c r="J54" s="32"/>
      <c r="K54" s="211"/>
      <c r="L54" s="211"/>
      <c r="M54" s="211"/>
      <c r="N54" s="32"/>
      <c r="O54" s="33"/>
      <c r="R54" s="259"/>
    </row>
    <row r="55" spans="1:18" s="31" customFormat="1" x14ac:dyDescent="0.3">
      <c r="A55" s="61">
        <f t="shared" si="2"/>
        <v>52</v>
      </c>
      <c r="B55" s="116" t="s">
        <v>291</v>
      </c>
      <c r="C55" s="116"/>
      <c r="D55" s="205" t="s">
        <v>5</v>
      </c>
      <c r="E55" s="127"/>
      <c r="F55" s="32"/>
      <c r="G55" s="32"/>
      <c r="H55" s="36"/>
      <c r="I55" s="32"/>
      <c r="J55" s="32"/>
      <c r="K55" s="211"/>
      <c r="L55" s="211"/>
      <c r="M55" s="211"/>
      <c r="N55" s="32"/>
      <c r="O55" s="33"/>
      <c r="R55" s="259"/>
    </row>
    <row r="56" spans="1:18" s="31" customFormat="1" x14ac:dyDescent="0.3">
      <c r="A56" s="61">
        <f t="shared" si="2"/>
        <v>53</v>
      </c>
      <c r="B56" s="116" t="s">
        <v>295</v>
      </c>
      <c r="C56" s="116"/>
      <c r="D56" s="205" t="s">
        <v>5</v>
      </c>
      <c r="E56" s="127"/>
      <c r="F56" s="32"/>
      <c r="G56" s="32"/>
      <c r="H56" s="36"/>
      <c r="I56" s="32"/>
      <c r="J56" s="32"/>
      <c r="K56" s="211"/>
      <c r="L56" s="211"/>
      <c r="M56" s="211"/>
      <c r="N56" s="32"/>
      <c r="O56" s="33"/>
      <c r="R56" s="259"/>
    </row>
    <row r="57" spans="1:18" s="31" customFormat="1" x14ac:dyDescent="0.3">
      <c r="A57" s="61">
        <f t="shared" si="2"/>
        <v>54</v>
      </c>
      <c r="B57" s="116" t="s">
        <v>296</v>
      </c>
      <c r="C57" s="116"/>
      <c r="D57" s="205" t="s">
        <v>5</v>
      </c>
      <c r="E57" s="127"/>
      <c r="F57" s="32"/>
      <c r="G57" s="32"/>
      <c r="H57" s="36"/>
      <c r="I57" s="32"/>
      <c r="J57" s="32"/>
      <c r="K57" s="211"/>
      <c r="L57" s="211"/>
      <c r="M57" s="211"/>
      <c r="N57" s="32"/>
      <c r="O57" s="33"/>
      <c r="R57" s="259"/>
    </row>
    <row r="58" spans="1:18" s="31" customFormat="1" x14ac:dyDescent="0.3">
      <c r="A58" s="61">
        <f t="shared" si="2"/>
        <v>55</v>
      </c>
      <c r="B58" s="116" t="s">
        <v>297</v>
      </c>
      <c r="C58" s="116"/>
      <c r="D58" s="205" t="s">
        <v>4</v>
      </c>
      <c r="E58" s="127"/>
      <c r="F58" s="32"/>
      <c r="G58" s="32"/>
      <c r="H58" s="36"/>
      <c r="I58" s="32"/>
      <c r="J58" s="32"/>
      <c r="K58" s="211"/>
      <c r="L58" s="211"/>
      <c r="M58" s="211"/>
      <c r="N58" s="32"/>
      <c r="O58" s="33"/>
      <c r="R58" s="259"/>
    </row>
    <row r="59" spans="1:18" s="31" customFormat="1" x14ac:dyDescent="0.3">
      <c r="A59" s="61">
        <f t="shared" si="2"/>
        <v>56</v>
      </c>
      <c r="B59" s="116" t="s">
        <v>298</v>
      </c>
      <c r="C59" s="116"/>
      <c r="D59" s="205" t="s">
        <v>5</v>
      </c>
      <c r="E59" s="127"/>
      <c r="F59" s="32"/>
      <c r="G59" s="32"/>
      <c r="H59" s="36"/>
      <c r="I59" s="32"/>
      <c r="J59" s="32"/>
      <c r="K59" s="211"/>
      <c r="L59" s="211"/>
      <c r="M59" s="211"/>
      <c r="N59" s="32"/>
      <c r="O59" s="33"/>
      <c r="R59" s="259"/>
    </row>
    <row r="60" spans="1:18" s="31" customFormat="1" x14ac:dyDescent="0.3">
      <c r="A60" s="61">
        <f t="shared" si="2"/>
        <v>57</v>
      </c>
      <c r="B60" s="116" t="s">
        <v>356</v>
      </c>
      <c r="C60" s="116"/>
      <c r="D60" s="205" t="s">
        <v>5</v>
      </c>
      <c r="E60" s="127"/>
      <c r="F60" s="32"/>
      <c r="G60" s="32"/>
      <c r="H60" s="36"/>
      <c r="I60" s="32"/>
      <c r="J60" s="32"/>
      <c r="K60" s="211"/>
      <c r="L60" s="211"/>
      <c r="M60" s="211"/>
      <c r="N60" s="32"/>
      <c r="O60" s="33"/>
      <c r="R60" s="259"/>
    </row>
    <row r="61" spans="1:18" s="31" customFormat="1" x14ac:dyDescent="0.3">
      <c r="A61" s="61">
        <f t="shared" si="2"/>
        <v>58</v>
      </c>
      <c r="B61" s="116" t="s">
        <v>361</v>
      </c>
      <c r="C61" s="116"/>
      <c r="D61" s="205" t="s">
        <v>4</v>
      </c>
      <c r="E61" s="127"/>
      <c r="F61" s="32"/>
      <c r="G61" s="32"/>
      <c r="H61" s="36"/>
      <c r="I61" s="32"/>
      <c r="J61" s="32"/>
      <c r="K61" s="211"/>
      <c r="L61" s="211"/>
      <c r="M61" s="211"/>
      <c r="N61" s="32"/>
      <c r="O61" s="33"/>
      <c r="R61" s="259"/>
    </row>
    <row r="62" spans="1:18" s="31" customFormat="1" x14ac:dyDescent="0.3">
      <c r="A62" s="61">
        <f t="shared" si="2"/>
        <v>59</v>
      </c>
      <c r="B62" s="116" t="s">
        <v>362</v>
      </c>
      <c r="C62" s="116"/>
      <c r="D62" s="205" t="s">
        <v>5</v>
      </c>
      <c r="E62" s="127"/>
      <c r="F62" s="32"/>
      <c r="G62" s="32"/>
      <c r="H62" s="36"/>
      <c r="I62" s="32"/>
      <c r="J62" s="32"/>
      <c r="K62" s="211"/>
      <c r="L62" s="211"/>
      <c r="M62" s="211"/>
      <c r="N62" s="32"/>
      <c r="O62" s="33"/>
      <c r="R62" s="259"/>
    </row>
    <row r="63" spans="1:18" s="31" customFormat="1" x14ac:dyDescent="0.3">
      <c r="A63" s="61">
        <f t="shared" si="2"/>
        <v>60</v>
      </c>
      <c r="B63" s="116" t="s">
        <v>363</v>
      </c>
      <c r="C63" s="116"/>
      <c r="D63" s="205" t="s">
        <v>5</v>
      </c>
      <c r="E63" s="127"/>
      <c r="F63" s="32"/>
      <c r="G63" s="32"/>
      <c r="H63" s="36"/>
      <c r="I63" s="32"/>
      <c r="J63" s="32"/>
      <c r="K63" s="211"/>
      <c r="L63" s="211"/>
      <c r="M63" s="211"/>
      <c r="N63" s="32"/>
      <c r="O63" s="33"/>
      <c r="R63" s="259"/>
    </row>
    <row r="64" spans="1:18" s="31" customFormat="1" x14ac:dyDescent="0.3">
      <c r="A64" s="61">
        <f t="shared" si="2"/>
        <v>61</v>
      </c>
      <c r="B64" s="116" t="s">
        <v>364</v>
      </c>
      <c r="C64" s="116"/>
      <c r="D64" s="205" t="s">
        <v>4</v>
      </c>
      <c r="E64" s="127"/>
      <c r="F64" s="32"/>
      <c r="G64" s="32"/>
      <c r="H64" s="36"/>
      <c r="I64" s="32"/>
      <c r="J64" s="32"/>
      <c r="K64" s="211"/>
      <c r="L64" s="211"/>
      <c r="M64" s="211"/>
      <c r="N64" s="32"/>
      <c r="O64" s="33"/>
      <c r="R64" s="259"/>
    </row>
    <row r="65" spans="1:18" s="31" customFormat="1" x14ac:dyDescent="0.3">
      <c r="A65" s="61">
        <f t="shared" si="2"/>
        <v>62</v>
      </c>
      <c r="B65" s="116" t="s">
        <v>365</v>
      </c>
      <c r="C65" s="116"/>
      <c r="D65" s="205" t="s">
        <v>5</v>
      </c>
      <c r="E65" s="127"/>
      <c r="F65" s="32"/>
      <c r="G65" s="32"/>
      <c r="H65" s="36"/>
      <c r="I65" s="32"/>
      <c r="J65" s="32"/>
      <c r="K65" s="211"/>
      <c r="L65" s="211"/>
      <c r="M65" s="211"/>
      <c r="N65" s="32"/>
      <c r="O65" s="33"/>
      <c r="R65" s="259"/>
    </row>
    <row r="66" spans="1:18" s="31" customFormat="1" x14ac:dyDescent="0.3">
      <c r="A66" s="61">
        <f t="shared" si="2"/>
        <v>63</v>
      </c>
      <c r="B66" s="116" t="s">
        <v>366</v>
      </c>
      <c r="C66" s="116"/>
      <c r="D66" s="205" t="s">
        <v>4</v>
      </c>
      <c r="E66" s="127"/>
      <c r="F66" s="32"/>
      <c r="G66" s="32"/>
      <c r="H66" s="36"/>
      <c r="I66" s="32"/>
      <c r="J66" s="32"/>
      <c r="K66" s="211"/>
      <c r="L66" s="211"/>
      <c r="M66" s="211"/>
      <c r="N66" s="32"/>
      <c r="O66" s="33"/>
      <c r="R66" s="259"/>
    </row>
    <row r="67" spans="1:18" s="31" customFormat="1" x14ac:dyDescent="0.3">
      <c r="A67" s="61">
        <f t="shared" si="2"/>
        <v>64</v>
      </c>
      <c r="B67" s="116" t="s">
        <v>367</v>
      </c>
      <c r="C67" s="116"/>
      <c r="D67" s="205" t="s">
        <v>5</v>
      </c>
      <c r="E67" s="127"/>
      <c r="F67" s="32"/>
      <c r="G67" s="32"/>
      <c r="H67" s="36"/>
      <c r="I67" s="32"/>
      <c r="J67" s="32"/>
      <c r="K67" s="211"/>
      <c r="L67" s="211"/>
      <c r="M67" s="211"/>
      <c r="N67" s="32"/>
      <c r="O67" s="33"/>
      <c r="R67" s="259"/>
    </row>
    <row r="68" spans="1:18" s="31" customFormat="1" x14ac:dyDescent="0.3">
      <c r="A68" s="61">
        <f t="shared" si="2"/>
        <v>65</v>
      </c>
      <c r="B68" s="116" t="s">
        <v>368</v>
      </c>
      <c r="C68" s="116"/>
      <c r="D68" s="205" t="s">
        <v>5</v>
      </c>
      <c r="E68" s="127"/>
      <c r="F68" s="32"/>
      <c r="G68" s="32"/>
      <c r="H68" s="36"/>
      <c r="I68" s="32"/>
      <c r="J68" s="32"/>
      <c r="K68" s="211"/>
      <c r="L68" s="211"/>
      <c r="M68" s="211"/>
      <c r="N68" s="32"/>
      <c r="O68" s="33"/>
      <c r="R68" s="259"/>
    </row>
    <row r="69" spans="1:18" s="31" customFormat="1" x14ac:dyDescent="0.3">
      <c r="A69" s="61">
        <f t="shared" si="2"/>
        <v>66</v>
      </c>
      <c r="B69" s="116" t="s">
        <v>369</v>
      </c>
      <c r="C69" s="116"/>
      <c r="D69" s="205" t="s">
        <v>5</v>
      </c>
      <c r="E69" s="127"/>
      <c r="F69" s="32"/>
      <c r="G69" s="32"/>
      <c r="H69" s="36"/>
      <c r="I69" s="32"/>
      <c r="J69" s="32"/>
      <c r="K69" s="211"/>
      <c r="L69" s="211"/>
      <c r="M69" s="211"/>
      <c r="N69" s="32"/>
      <c r="O69" s="33"/>
      <c r="R69" s="259"/>
    </row>
    <row r="70" spans="1:18" s="31" customFormat="1" x14ac:dyDescent="0.3">
      <c r="A70" s="61">
        <f t="shared" si="2"/>
        <v>67</v>
      </c>
      <c r="B70" s="116" t="s">
        <v>371</v>
      </c>
      <c r="C70" s="116"/>
      <c r="D70" s="205" t="s">
        <v>4</v>
      </c>
      <c r="E70" s="127"/>
      <c r="F70" s="32"/>
      <c r="G70" s="32"/>
      <c r="H70" s="36"/>
      <c r="I70" s="32"/>
      <c r="J70" s="32"/>
      <c r="K70" s="211"/>
      <c r="L70" s="211"/>
      <c r="M70" s="211"/>
      <c r="N70" s="32"/>
      <c r="O70" s="33"/>
      <c r="R70" s="259"/>
    </row>
    <row r="71" spans="1:18" s="31" customFormat="1" x14ac:dyDescent="0.3">
      <c r="A71" s="61">
        <f t="shared" ref="A71:A81" si="3">A70+1</f>
        <v>68</v>
      </c>
      <c r="B71" s="116" t="s">
        <v>372</v>
      </c>
      <c r="C71" s="116"/>
      <c r="D71" s="205" t="s">
        <v>4</v>
      </c>
      <c r="E71" s="127"/>
      <c r="F71" s="32"/>
      <c r="G71" s="32"/>
      <c r="H71" s="36"/>
      <c r="I71" s="32"/>
      <c r="J71" s="32"/>
      <c r="K71" s="211"/>
      <c r="L71" s="211"/>
      <c r="M71" s="211"/>
      <c r="N71" s="32"/>
      <c r="O71" s="33"/>
      <c r="R71" s="259"/>
    </row>
    <row r="72" spans="1:18" s="31" customFormat="1" x14ac:dyDescent="0.3">
      <c r="A72" s="61">
        <f t="shared" si="3"/>
        <v>69</v>
      </c>
      <c r="B72" s="116" t="s">
        <v>373</v>
      </c>
      <c r="C72" s="116"/>
      <c r="D72" s="205" t="s">
        <v>5</v>
      </c>
      <c r="E72" s="127"/>
      <c r="F72" s="32"/>
      <c r="G72" s="32"/>
      <c r="H72" s="36"/>
      <c r="I72" s="32"/>
      <c r="J72" s="32"/>
      <c r="K72" s="211"/>
      <c r="L72" s="211"/>
      <c r="M72" s="211"/>
      <c r="N72" s="32"/>
      <c r="O72" s="33"/>
      <c r="R72" s="259"/>
    </row>
    <row r="73" spans="1:18" s="31" customFormat="1" x14ac:dyDescent="0.3">
      <c r="A73" s="61">
        <f t="shared" si="3"/>
        <v>70</v>
      </c>
      <c r="B73" s="116" t="s">
        <v>374</v>
      </c>
      <c r="C73" s="116"/>
      <c r="D73" s="205" t="s">
        <v>4</v>
      </c>
      <c r="E73" s="127"/>
      <c r="F73" s="32"/>
      <c r="G73" s="32"/>
      <c r="H73" s="36"/>
      <c r="I73" s="32"/>
      <c r="J73" s="32"/>
      <c r="K73" s="211"/>
      <c r="L73" s="211"/>
      <c r="M73" s="211"/>
      <c r="N73" s="32"/>
      <c r="O73" s="33"/>
      <c r="R73" s="261"/>
    </row>
    <row r="74" spans="1:18" s="31" customFormat="1" x14ac:dyDescent="0.3">
      <c r="A74" s="61">
        <f t="shared" si="3"/>
        <v>71</v>
      </c>
      <c r="B74" s="116" t="s">
        <v>375</v>
      </c>
      <c r="C74" s="116"/>
      <c r="D74" s="205" t="s">
        <v>5</v>
      </c>
      <c r="E74" s="127"/>
      <c r="F74" s="32"/>
      <c r="G74" s="32"/>
      <c r="H74" s="36"/>
      <c r="I74" s="32"/>
      <c r="J74" s="32"/>
      <c r="K74" s="211"/>
      <c r="L74" s="211"/>
      <c r="M74" s="211"/>
      <c r="N74" s="32"/>
      <c r="O74" s="33"/>
      <c r="R74" s="259"/>
    </row>
    <row r="75" spans="1:18" s="31" customFormat="1" x14ac:dyDescent="0.3">
      <c r="A75" s="61">
        <f t="shared" si="3"/>
        <v>72</v>
      </c>
      <c r="B75" s="159" t="s">
        <v>376</v>
      </c>
      <c r="C75" s="159"/>
      <c r="D75" s="206" t="s">
        <v>5</v>
      </c>
      <c r="E75" s="226"/>
      <c r="F75" s="227"/>
      <c r="G75" s="227"/>
      <c r="H75" s="228"/>
      <c r="I75" s="227"/>
      <c r="J75" s="227"/>
      <c r="K75" s="229"/>
      <c r="L75" s="229"/>
      <c r="M75" s="229"/>
      <c r="N75" s="227"/>
      <c r="O75" s="323"/>
      <c r="R75" s="259"/>
    </row>
    <row r="76" spans="1:18" s="31" customFormat="1" x14ac:dyDescent="0.3">
      <c r="A76" s="61">
        <f t="shared" si="3"/>
        <v>73</v>
      </c>
      <c r="B76" s="29" t="s">
        <v>387</v>
      </c>
      <c r="C76" s="29"/>
      <c r="D76" s="25" t="s">
        <v>5</v>
      </c>
      <c r="E76" s="226"/>
      <c r="F76" s="227"/>
      <c r="G76" s="227"/>
      <c r="H76" s="228"/>
      <c r="I76" s="227"/>
      <c r="J76" s="227"/>
      <c r="K76" s="229"/>
      <c r="L76" s="229"/>
      <c r="M76" s="229"/>
      <c r="N76" s="227"/>
      <c r="O76" s="323"/>
      <c r="R76" s="259"/>
    </row>
    <row r="77" spans="1:18" s="31" customFormat="1" x14ac:dyDescent="0.3">
      <c r="A77" s="61">
        <f t="shared" si="3"/>
        <v>74</v>
      </c>
      <c r="B77" s="159" t="s">
        <v>388</v>
      </c>
      <c r="C77" s="159"/>
      <c r="D77" s="25" t="s">
        <v>5</v>
      </c>
      <c r="E77" s="226"/>
      <c r="F77" s="227"/>
      <c r="G77" s="227"/>
      <c r="H77" s="228"/>
      <c r="I77" s="227"/>
      <c r="J77" s="227"/>
      <c r="K77" s="229"/>
      <c r="L77" s="229"/>
      <c r="M77" s="229"/>
      <c r="N77" s="227"/>
      <c r="O77" s="323"/>
      <c r="R77" s="259"/>
    </row>
    <row r="78" spans="1:18" s="31" customFormat="1" x14ac:dyDescent="0.3">
      <c r="A78" s="61">
        <f t="shared" si="3"/>
        <v>75</v>
      </c>
      <c r="B78" s="159" t="s">
        <v>389</v>
      </c>
      <c r="C78" s="159"/>
      <c r="D78" s="206" t="s">
        <v>4</v>
      </c>
      <c r="E78" s="226"/>
      <c r="F78" s="227"/>
      <c r="G78" s="227"/>
      <c r="H78" s="228"/>
      <c r="I78" s="227"/>
      <c r="J78" s="227"/>
      <c r="K78" s="229"/>
      <c r="L78" s="229"/>
      <c r="M78" s="229"/>
      <c r="N78" s="227"/>
      <c r="O78" s="323"/>
      <c r="R78" s="259"/>
    </row>
    <row r="79" spans="1:18" s="31" customFormat="1" x14ac:dyDescent="0.3">
      <c r="A79" s="61">
        <f t="shared" si="3"/>
        <v>76</v>
      </c>
      <c r="B79" s="159" t="s">
        <v>390</v>
      </c>
      <c r="C79" s="159"/>
      <c r="D79" s="206" t="s">
        <v>5</v>
      </c>
      <c r="E79" s="226"/>
      <c r="F79" s="227"/>
      <c r="G79" s="227"/>
      <c r="H79" s="228"/>
      <c r="I79" s="227"/>
      <c r="J79" s="227"/>
      <c r="K79" s="229"/>
      <c r="L79" s="229"/>
      <c r="M79" s="229"/>
      <c r="N79" s="227"/>
      <c r="O79" s="323"/>
      <c r="R79" s="259"/>
    </row>
    <row r="80" spans="1:18" s="31" customFormat="1" x14ac:dyDescent="0.3">
      <c r="A80" s="61">
        <f t="shared" si="3"/>
        <v>77</v>
      </c>
      <c r="B80" s="159" t="s">
        <v>391</v>
      </c>
      <c r="C80" s="159"/>
      <c r="D80" s="206" t="s">
        <v>4</v>
      </c>
      <c r="E80" s="226"/>
      <c r="F80" s="227"/>
      <c r="G80" s="227"/>
      <c r="H80" s="228"/>
      <c r="I80" s="227"/>
      <c r="J80" s="227"/>
      <c r="K80" s="229"/>
      <c r="L80" s="229"/>
      <c r="M80" s="229"/>
      <c r="N80" s="227"/>
      <c r="O80" s="323"/>
      <c r="R80" s="259"/>
    </row>
    <row r="81" spans="1:18" s="31" customFormat="1" x14ac:dyDescent="0.3">
      <c r="A81" s="61">
        <f t="shared" si="3"/>
        <v>78</v>
      </c>
      <c r="B81" s="159" t="s">
        <v>392</v>
      </c>
      <c r="C81" s="159"/>
      <c r="D81" s="206" t="s">
        <v>5</v>
      </c>
      <c r="E81" s="226"/>
      <c r="F81" s="227"/>
      <c r="G81" s="227"/>
      <c r="H81" s="228"/>
      <c r="I81" s="227"/>
      <c r="J81" s="227"/>
      <c r="K81" s="229"/>
      <c r="L81" s="229"/>
      <c r="M81" s="229"/>
      <c r="N81" s="227"/>
      <c r="O81" s="323"/>
      <c r="R81" s="259"/>
    </row>
    <row r="82" spans="1:18" s="31" customFormat="1" x14ac:dyDescent="0.3">
      <c r="A82" s="61">
        <v>79</v>
      </c>
      <c r="B82" s="159" t="s">
        <v>397</v>
      </c>
      <c r="C82" s="159"/>
      <c r="D82" s="206" t="s">
        <v>5</v>
      </c>
      <c r="E82" s="226"/>
      <c r="F82" s="227"/>
      <c r="G82" s="227"/>
      <c r="H82" s="228"/>
      <c r="I82" s="227"/>
      <c r="J82" s="227"/>
      <c r="K82" s="229"/>
      <c r="L82" s="229"/>
      <c r="M82" s="229"/>
      <c r="N82" s="227"/>
      <c r="O82" s="323"/>
      <c r="R82" s="259"/>
    </row>
    <row r="83" spans="1:18" s="31" customFormat="1" x14ac:dyDescent="0.3">
      <c r="A83" s="61"/>
      <c r="B83" s="159"/>
      <c r="C83" s="159"/>
      <c r="D83" s="206"/>
      <c r="E83" s="226"/>
      <c r="F83" s="227"/>
      <c r="G83" s="227"/>
      <c r="H83" s="228"/>
      <c r="I83" s="227"/>
      <c r="J83" s="227"/>
      <c r="K83" s="229"/>
      <c r="L83" s="229"/>
      <c r="M83" s="229"/>
      <c r="N83" s="227"/>
      <c r="O83" s="323"/>
      <c r="R83" s="259"/>
    </row>
    <row r="84" spans="1:18" s="31" customFormat="1" ht="16.2" thickBot="1" x14ac:dyDescent="0.35">
      <c r="A84" s="390"/>
      <c r="B84" s="119"/>
      <c r="C84" s="119"/>
      <c r="D84" s="391"/>
      <c r="E84" s="392"/>
      <c r="F84" s="27"/>
      <c r="G84" s="27"/>
      <c r="H84" s="27"/>
      <c r="I84" s="27"/>
      <c r="J84" s="27"/>
      <c r="K84" s="27"/>
      <c r="L84" s="27"/>
      <c r="M84" s="212"/>
      <c r="N84" s="27"/>
      <c r="O84" s="26"/>
      <c r="R84" s="259"/>
    </row>
    <row r="86" spans="1:18" x14ac:dyDescent="0.3">
      <c r="O86" s="262"/>
    </row>
  </sheetData>
  <mergeCells count="5">
    <mergeCell ref="A1:O1"/>
    <mergeCell ref="A2:A3"/>
    <mergeCell ref="B2:B3"/>
    <mergeCell ref="C2:C3"/>
    <mergeCell ref="D2:D3"/>
  </mergeCells>
  <pageMargins left="0.76" right="0.2" top="0.26" bottom="0.2" header="0.2" footer="0.2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3:Q287"/>
  <sheetViews>
    <sheetView topLeftCell="A196" workbookViewId="0">
      <selection activeCell="D20" sqref="D20"/>
    </sheetView>
  </sheetViews>
  <sheetFormatPr defaultRowHeight="15.6" x14ac:dyDescent="0.3"/>
  <cols>
    <col min="1" max="1" width="5.109375" style="3" bestFit="1" customWidth="1"/>
    <col min="2" max="2" width="11.6640625" style="3" bestFit="1" customWidth="1"/>
    <col min="3" max="3" width="45.33203125" style="31" customWidth="1"/>
    <col min="4" max="4" width="12.109375" style="7" bestFit="1" customWidth="1"/>
    <col min="5" max="5" width="18.21875" style="3" customWidth="1"/>
    <col min="6" max="6" width="8.88671875" style="1"/>
    <col min="7" max="7" width="5.109375" style="1" bestFit="1" customWidth="1"/>
    <col min="8" max="8" width="12.5546875" style="1" customWidth="1"/>
    <col min="9" max="9" width="18.44140625" style="1" bestFit="1" customWidth="1"/>
    <col min="10" max="10" width="14.6640625" style="1" customWidth="1"/>
    <col min="11" max="11" width="19.44140625" style="3" customWidth="1"/>
    <col min="12" max="12" width="8.88671875" style="1"/>
    <col min="13" max="13" width="5.109375" style="1" bestFit="1" customWidth="1"/>
    <col min="14" max="14" width="18.44140625" style="1" bestFit="1" customWidth="1"/>
    <col min="15" max="15" width="15.5546875" style="1" customWidth="1"/>
    <col min="16" max="16" width="17.6640625" style="1" customWidth="1"/>
    <col min="17" max="17" width="17.109375" style="1" customWidth="1"/>
    <col min="18" max="16384" width="8.88671875" style="1"/>
  </cols>
  <sheetData>
    <row r="3" spans="1:17" x14ac:dyDescent="0.3">
      <c r="A3" s="448" t="s">
        <v>22</v>
      </c>
      <c r="B3" s="449"/>
      <c r="C3" s="449"/>
      <c r="D3" s="449"/>
      <c r="E3" s="450"/>
      <c r="G3" s="448" t="s">
        <v>19</v>
      </c>
      <c r="H3" s="449"/>
      <c r="I3" s="449"/>
      <c r="J3" s="449"/>
      <c r="K3" s="450"/>
      <c r="M3" s="448" t="s">
        <v>20</v>
      </c>
      <c r="N3" s="449"/>
      <c r="O3" s="449"/>
      <c r="P3" s="449"/>
      <c r="Q3" s="450"/>
    </row>
    <row r="4" spans="1:17" s="6" customFormat="1" x14ac:dyDescent="0.3">
      <c r="A4" s="144" t="s">
        <v>0</v>
      </c>
      <c r="B4" s="144" t="s">
        <v>11</v>
      </c>
      <c r="C4" s="138" t="s">
        <v>10</v>
      </c>
      <c r="D4" s="12" t="s">
        <v>12</v>
      </c>
      <c r="E4" s="144" t="s">
        <v>14</v>
      </c>
      <c r="G4" s="5" t="s">
        <v>0</v>
      </c>
      <c r="H4" s="5" t="s">
        <v>11</v>
      </c>
      <c r="I4" s="138" t="s">
        <v>10</v>
      </c>
      <c r="J4" s="12" t="s">
        <v>12</v>
      </c>
      <c r="K4" s="5" t="s">
        <v>14</v>
      </c>
      <c r="M4" s="5" t="s">
        <v>0</v>
      </c>
      <c r="N4" s="5" t="s">
        <v>11</v>
      </c>
      <c r="O4" s="8" t="s">
        <v>10</v>
      </c>
      <c r="P4" s="9" t="s">
        <v>12</v>
      </c>
      <c r="Q4" s="5" t="s">
        <v>14</v>
      </c>
    </row>
    <row r="5" spans="1:17" x14ac:dyDescent="0.3">
      <c r="A5" s="4">
        <v>1</v>
      </c>
      <c r="B5" s="11">
        <v>45799</v>
      </c>
      <c r="C5" s="48" t="s">
        <v>24</v>
      </c>
      <c r="D5" s="10">
        <v>17940000</v>
      </c>
      <c r="E5" s="4" t="s">
        <v>18</v>
      </c>
      <c r="G5" s="4">
        <v>1</v>
      </c>
      <c r="H5" s="11">
        <v>45799</v>
      </c>
      <c r="I5" s="48" t="s">
        <v>13</v>
      </c>
      <c r="J5" s="10">
        <v>3000000</v>
      </c>
      <c r="K5" s="4" t="s">
        <v>15</v>
      </c>
      <c r="M5" s="4">
        <v>1</v>
      </c>
      <c r="N5" s="11">
        <v>45804</v>
      </c>
      <c r="O5" s="2" t="s">
        <v>21</v>
      </c>
      <c r="P5" s="10">
        <v>1000000</v>
      </c>
      <c r="Q5" s="4" t="s">
        <v>18</v>
      </c>
    </row>
    <row r="6" spans="1:17" x14ac:dyDescent="0.3">
      <c r="A6" s="4">
        <v>2</v>
      </c>
      <c r="B6" s="11">
        <v>45799</v>
      </c>
      <c r="C6" s="48" t="s">
        <v>23</v>
      </c>
      <c r="D6" s="10">
        <v>3660000</v>
      </c>
      <c r="E6" s="4" t="s">
        <v>18</v>
      </c>
      <c r="G6" s="4">
        <v>2</v>
      </c>
      <c r="H6" s="11">
        <v>45802</v>
      </c>
      <c r="I6" s="48" t="s">
        <v>16</v>
      </c>
      <c r="J6" s="10">
        <v>3000000</v>
      </c>
      <c r="K6" s="4" t="s">
        <v>15</v>
      </c>
      <c r="M6" s="4">
        <v>2</v>
      </c>
      <c r="N6" s="11">
        <v>45805</v>
      </c>
      <c r="O6" s="2" t="s">
        <v>21</v>
      </c>
      <c r="P6" s="10">
        <v>1000000</v>
      </c>
      <c r="Q6" s="4" t="s">
        <v>18</v>
      </c>
    </row>
    <row r="7" spans="1:17" x14ac:dyDescent="0.3">
      <c r="A7" s="4">
        <v>3</v>
      </c>
      <c r="B7" s="11">
        <v>45800</v>
      </c>
      <c r="C7" s="48" t="s">
        <v>28</v>
      </c>
      <c r="D7" s="10">
        <f>35000*20+150000</f>
        <v>850000</v>
      </c>
      <c r="E7" s="4" t="s">
        <v>15</v>
      </c>
      <c r="G7" s="4">
        <v>3</v>
      </c>
      <c r="H7" s="11">
        <v>45802</v>
      </c>
      <c r="I7" s="48" t="s">
        <v>16</v>
      </c>
      <c r="J7" s="10">
        <v>1000000</v>
      </c>
      <c r="K7" s="4" t="s">
        <v>18</v>
      </c>
      <c r="M7" s="4">
        <v>3</v>
      </c>
      <c r="N7" s="4"/>
      <c r="O7" s="2" t="s">
        <v>21</v>
      </c>
      <c r="P7" s="10">
        <v>2000000</v>
      </c>
      <c r="Q7" s="4" t="s">
        <v>18</v>
      </c>
    </row>
    <row r="8" spans="1:17" x14ac:dyDescent="0.3">
      <c r="A8" s="4">
        <v>4</v>
      </c>
      <c r="B8" s="11">
        <v>45801</v>
      </c>
      <c r="C8" s="28" t="s">
        <v>29</v>
      </c>
      <c r="D8" s="10">
        <v>5000000</v>
      </c>
      <c r="E8" s="4" t="s">
        <v>18</v>
      </c>
      <c r="G8" s="4">
        <v>4</v>
      </c>
      <c r="H8" s="11">
        <v>45805</v>
      </c>
      <c r="I8" s="48" t="s">
        <v>16</v>
      </c>
      <c r="J8" s="10">
        <v>1000000</v>
      </c>
      <c r="K8" s="4" t="s">
        <v>15</v>
      </c>
      <c r="M8" s="4">
        <v>4</v>
      </c>
      <c r="N8" s="11">
        <v>45808</v>
      </c>
      <c r="O8" s="2" t="s">
        <v>39</v>
      </c>
      <c r="P8" s="10">
        <v>16140000</v>
      </c>
      <c r="Q8" s="4" t="s">
        <v>15</v>
      </c>
    </row>
    <row r="9" spans="1:17" x14ac:dyDescent="0.3">
      <c r="A9" s="4">
        <v>5</v>
      </c>
      <c r="B9" s="11">
        <v>45803</v>
      </c>
      <c r="C9" s="48" t="s">
        <v>25</v>
      </c>
      <c r="D9" s="10">
        <v>4500000</v>
      </c>
      <c r="E9" s="4" t="s">
        <v>18</v>
      </c>
      <c r="G9" s="4">
        <v>5</v>
      </c>
      <c r="H9" s="11">
        <v>45808</v>
      </c>
      <c r="I9" s="48" t="s">
        <v>16</v>
      </c>
      <c r="J9" s="10">
        <v>15000000</v>
      </c>
      <c r="K9" s="4" t="s">
        <v>15</v>
      </c>
      <c r="M9" s="4"/>
      <c r="N9" s="4"/>
      <c r="O9" s="2"/>
      <c r="P9" s="10"/>
      <c r="Q9" s="4"/>
    </row>
    <row r="10" spans="1:17" x14ac:dyDescent="0.3">
      <c r="A10" s="4">
        <v>6</v>
      </c>
      <c r="B10" s="11">
        <v>45803</v>
      </c>
      <c r="C10" s="48" t="s">
        <v>26</v>
      </c>
      <c r="D10" s="10">
        <v>1260000</v>
      </c>
      <c r="E10" s="4" t="s">
        <v>18</v>
      </c>
      <c r="G10" s="4">
        <v>6</v>
      </c>
      <c r="H10" s="11">
        <v>45815</v>
      </c>
      <c r="I10" s="48" t="s">
        <v>16</v>
      </c>
      <c r="J10" s="10" t="e">
        <f>#REF!</f>
        <v>#REF!</v>
      </c>
      <c r="K10" s="4" t="s">
        <v>15</v>
      </c>
      <c r="M10" s="4"/>
      <c r="N10" s="4"/>
      <c r="O10" s="2"/>
      <c r="P10" s="10"/>
      <c r="Q10" s="4"/>
    </row>
    <row r="11" spans="1:17" x14ac:dyDescent="0.3">
      <c r="A11" s="4">
        <v>7</v>
      </c>
      <c r="B11" s="38">
        <v>45816</v>
      </c>
      <c r="C11" s="115" t="s">
        <v>40</v>
      </c>
      <c r="D11" s="39">
        <v>430000</v>
      </c>
      <c r="E11" s="145">
        <f>SUM(D11:D16)</f>
        <v>1515000</v>
      </c>
      <c r="G11" s="4">
        <v>7</v>
      </c>
      <c r="H11" s="11">
        <v>45822</v>
      </c>
      <c r="I11" s="48" t="s">
        <v>16</v>
      </c>
      <c r="J11" s="10" t="e">
        <f>#REF!</f>
        <v>#REF!</v>
      </c>
      <c r="K11" s="4" t="s">
        <v>15</v>
      </c>
      <c r="M11" s="4"/>
      <c r="N11" s="4"/>
      <c r="O11" s="2"/>
      <c r="P11" s="10"/>
      <c r="Q11" s="4"/>
    </row>
    <row r="12" spans="1:17" x14ac:dyDescent="0.3">
      <c r="A12" s="4">
        <v>8</v>
      </c>
      <c r="B12" s="38">
        <v>45817</v>
      </c>
      <c r="C12" s="115" t="s">
        <v>40</v>
      </c>
      <c r="D12" s="39">
        <v>40000</v>
      </c>
      <c r="E12" s="146"/>
      <c r="G12" s="4">
        <v>8</v>
      </c>
      <c r="H12" s="11">
        <v>45829</v>
      </c>
      <c r="I12" s="48" t="s">
        <v>16</v>
      </c>
      <c r="J12" s="10" t="e">
        <f>#REF!</f>
        <v>#REF!</v>
      </c>
      <c r="K12" s="4" t="s">
        <v>15</v>
      </c>
      <c r="M12" s="4"/>
      <c r="N12" s="4"/>
      <c r="O12" s="2"/>
      <c r="P12" s="10"/>
      <c r="Q12" s="4"/>
    </row>
    <row r="13" spans="1:17" x14ac:dyDescent="0.3">
      <c r="A13" s="4">
        <v>9</v>
      </c>
      <c r="B13" s="38">
        <v>45818</v>
      </c>
      <c r="C13" s="115" t="s">
        <v>40</v>
      </c>
      <c r="D13" s="39">
        <v>170000</v>
      </c>
      <c r="E13" s="146"/>
      <c r="G13" s="4">
        <v>9</v>
      </c>
      <c r="H13" s="11">
        <v>45836</v>
      </c>
      <c r="I13" s="48" t="s">
        <v>16</v>
      </c>
      <c r="J13" s="10" t="e">
        <f>#REF!</f>
        <v>#REF!</v>
      </c>
      <c r="K13" s="4" t="s">
        <v>15</v>
      </c>
      <c r="M13" s="4"/>
      <c r="N13" s="4"/>
      <c r="O13" s="2"/>
      <c r="P13" s="10"/>
      <c r="Q13" s="4"/>
    </row>
    <row r="14" spans="1:17" x14ac:dyDescent="0.3">
      <c r="A14" s="4">
        <v>10</v>
      </c>
      <c r="B14" s="38">
        <v>45819</v>
      </c>
      <c r="C14" s="115" t="s">
        <v>40</v>
      </c>
      <c r="D14" s="39">
        <v>125000</v>
      </c>
      <c r="E14" s="146"/>
      <c r="G14" s="4">
        <v>10</v>
      </c>
      <c r="H14" s="11">
        <v>45843</v>
      </c>
      <c r="I14" s="48" t="s">
        <v>16</v>
      </c>
      <c r="J14" s="10" t="e">
        <f>#REF!</f>
        <v>#REF!</v>
      </c>
      <c r="K14" s="4" t="s">
        <v>15</v>
      </c>
      <c r="M14" s="4"/>
      <c r="N14" s="4"/>
      <c r="O14" s="2"/>
      <c r="P14" s="10"/>
      <c r="Q14" s="4"/>
    </row>
    <row r="15" spans="1:17" x14ac:dyDescent="0.3">
      <c r="A15" s="4">
        <v>11</v>
      </c>
      <c r="B15" s="38">
        <v>45820</v>
      </c>
      <c r="C15" s="115" t="s">
        <v>40</v>
      </c>
      <c r="D15" s="39">
        <v>400000</v>
      </c>
      <c r="E15" s="146"/>
      <c r="G15" s="4">
        <v>11</v>
      </c>
      <c r="H15" s="11">
        <v>45843</v>
      </c>
      <c r="I15" s="48" t="s">
        <v>52</v>
      </c>
      <c r="J15" s="10" t="e">
        <f>#REF!</f>
        <v>#REF!</v>
      </c>
      <c r="K15" s="4" t="s">
        <v>15</v>
      </c>
      <c r="M15" s="2"/>
      <c r="N15" s="2"/>
      <c r="O15" s="2"/>
      <c r="P15" s="2"/>
      <c r="Q15" s="4"/>
    </row>
    <row r="16" spans="1:17" x14ac:dyDescent="0.3">
      <c r="A16" s="4">
        <v>12</v>
      </c>
      <c r="B16" s="38">
        <v>45821</v>
      </c>
      <c r="C16" s="115" t="s">
        <v>40</v>
      </c>
      <c r="D16" s="39">
        <v>350000</v>
      </c>
      <c r="E16" s="146"/>
      <c r="G16" s="4">
        <v>12</v>
      </c>
      <c r="H16" s="11">
        <v>45850</v>
      </c>
      <c r="I16" s="48" t="s">
        <v>16</v>
      </c>
      <c r="J16" s="10" t="e">
        <f>#REF!</f>
        <v>#REF!</v>
      </c>
      <c r="K16" s="4" t="s">
        <v>15</v>
      </c>
      <c r="M16" s="2"/>
      <c r="N16" s="2"/>
      <c r="O16" s="2"/>
      <c r="P16" s="2"/>
      <c r="Q16" s="4"/>
    </row>
    <row r="17" spans="1:17" x14ac:dyDescent="0.3">
      <c r="A17" s="4">
        <v>13</v>
      </c>
      <c r="B17" s="4"/>
      <c r="C17" s="48" t="s">
        <v>48</v>
      </c>
      <c r="D17" s="10">
        <v>720000</v>
      </c>
      <c r="E17" s="4" t="s">
        <v>15</v>
      </c>
      <c r="G17" s="42">
        <v>13</v>
      </c>
      <c r="H17" s="11">
        <v>45857</v>
      </c>
      <c r="I17" s="48" t="s">
        <v>16</v>
      </c>
      <c r="J17" s="10" t="e">
        <f>#REF!</f>
        <v>#REF!</v>
      </c>
      <c r="K17" s="4" t="s">
        <v>15</v>
      </c>
      <c r="M17" s="44"/>
      <c r="N17" s="46"/>
      <c r="O17" s="45"/>
      <c r="P17" s="2"/>
      <c r="Q17" s="4"/>
    </row>
    <row r="18" spans="1:17" x14ac:dyDescent="0.3">
      <c r="A18" s="4">
        <v>14</v>
      </c>
      <c r="B18" s="11">
        <v>45828</v>
      </c>
      <c r="C18" s="48" t="s">
        <v>50</v>
      </c>
      <c r="D18" s="10">
        <v>1500000</v>
      </c>
      <c r="E18" s="4" t="s">
        <v>18</v>
      </c>
      <c r="G18" s="42">
        <v>14</v>
      </c>
      <c r="H18" s="11">
        <v>45864</v>
      </c>
      <c r="I18" s="48" t="s">
        <v>16</v>
      </c>
      <c r="J18" s="10" t="e">
        <f>#REF!</f>
        <v>#REF!</v>
      </c>
      <c r="K18" s="4" t="s">
        <v>15</v>
      </c>
      <c r="M18" s="44"/>
      <c r="N18" s="46"/>
      <c r="O18" s="45"/>
      <c r="P18" s="2"/>
      <c r="Q18" s="4"/>
    </row>
    <row r="19" spans="1:17" x14ac:dyDescent="0.3">
      <c r="A19" s="4">
        <v>15</v>
      </c>
      <c r="B19" s="11">
        <v>45829</v>
      </c>
      <c r="C19" s="115" t="s">
        <v>49</v>
      </c>
      <c r="D19" s="10">
        <v>1060000</v>
      </c>
      <c r="E19" s="4" t="s">
        <v>15</v>
      </c>
      <c r="G19" s="42">
        <v>15</v>
      </c>
      <c r="H19" s="11">
        <v>45871</v>
      </c>
      <c r="I19" s="48" t="s">
        <v>16</v>
      </c>
      <c r="J19" s="10" t="e">
        <f>#REF!</f>
        <v>#REF!</v>
      </c>
      <c r="K19" s="4" t="s">
        <v>15</v>
      </c>
      <c r="M19" s="44"/>
      <c r="N19" s="46"/>
      <c r="O19" s="45"/>
      <c r="P19" s="2"/>
      <c r="Q19" s="4"/>
    </row>
    <row r="20" spans="1:17" x14ac:dyDescent="0.3">
      <c r="A20" s="4">
        <v>16</v>
      </c>
      <c r="B20" s="11">
        <v>45837</v>
      </c>
      <c r="C20" s="48" t="s">
        <v>51</v>
      </c>
      <c r="D20" s="10">
        <v>6000000</v>
      </c>
      <c r="E20" s="4" t="s">
        <v>15</v>
      </c>
      <c r="G20" s="42">
        <v>16</v>
      </c>
      <c r="H20" s="11">
        <v>45879</v>
      </c>
      <c r="I20" s="48" t="s">
        <v>16</v>
      </c>
      <c r="J20" s="10" t="e">
        <f>#REF!</f>
        <v>#REF!</v>
      </c>
      <c r="K20" s="4" t="s">
        <v>146</v>
      </c>
      <c r="M20" s="44"/>
      <c r="N20" s="46"/>
      <c r="O20" s="45"/>
      <c r="P20" s="2"/>
      <c r="Q20" s="4"/>
    </row>
    <row r="21" spans="1:17" x14ac:dyDescent="0.3">
      <c r="A21" s="4">
        <v>17</v>
      </c>
      <c r="B21" s="11">
        <v>45843</v>
      </c>
      <c r="C21" s="48" t="s">
        <v>50</v>
      </c>
      <c r="D21" s="10">
        <v>1500000</v>
      </c>
      <c r="E21" s="4" t="s">
        <v>18</v>
      </c>
      <c r="G21" s="42">
        <v>17</v>
      </c>
      <c r="H21" s="11">
        <v>45886</v>
      </c>
      <c r="I21" s="48" t="s">
        <v>16</v>
      </c>
      <c r="J21" s="10" t="e">
        <f>#REF!</f>
        <v>#REF!</v>
      </c>
      <c r="K21" s="4" t="s">
        <v>18</v>
      </c>
      <c r="M21" s="44"/>
      <c r="N21" s="46"/>
      <c r="O21" s="45"/>
      <c r="P21" s="2"/>
      <c r="Q21" s="4"/>
    </row>
    <row r="22" spans="1:17" x14ac:dyDescent="0.3">
      <c r="A22" s="4">
        <v>18</v>
      </c>
      <c r="B22" s="11">
        <v>45849</v>
      </c>
      <c r="C22" s="48" t="s">
        <v>53</v>
      </c>
      <c r="D22" s="10">
        <v>1860000</v>
      </c>
      <c r="E22" s="4" t="s">
        <v>18</v>
      </c>
      <c r="G22" s="42">
        <v>18</v>
      </c>
      <c r="H22" s="11">
        <v>45887</v>
      </c>
      <c r="I22" s="48" t="s">
        <v>16</v>
      </c>
      <c r="J22" s="10" t="e">
        <f>#REF!</f>
        <v>#REF!</v>
      </c>
      <c r="K22" s="4" t="s">
        <v>165</v>
      </c>
      <c r="M22" s="44"/>
      <c r="N22" s="46"/>
      <c r="O22" s="45"/>
      <c r="P22" s="2"/>
      <c r="Q22" s="4"/>
    </row>
    <row r="23" spans="1:17" x14ac:dyDescent="0.3">
      <c r="A23" s="4">
        <v>19</v>
      </c>
      <c r="B23" s="11">
        <v>45851</v>
      </c>
      <c r="C23" s="48" t="s">
        <v>69</v>
      </c>
      <c r="D23" s="10">
        <v>1000000</v>
      </c>
      <c r="E23" s="4" t="s">
        <v>15</v>
      </c>
      <c r="G23" s="42">
        <v>19</v>
      </c>
      <c r="H23" s="11">
        <v>45894</v>
      </c>
      <c r="I23" s="48" t="s">
        <v>16</v>
      </c>
      <c r="J23" s="10" t="e">
        <f>#REF!</f>
        <v>#REF!</v>
      </c>
      <c r="K23" s="4" t="s">
        <v>165</v>
      </c>
      <c r="M23" s="44"/>
      <c r="N23" s="46"/>
      <c r="O23" s="45"/>
      <c r="P23" s="2"/>
      <c r="Q23" s="4"/>
    </row>
    <row r="24" spans="1:17" x14ac:dyDescent="0.3">
      <c r="A24" s="4">
        <v>20</v>
      </c>
      <c r="B24" s="11">
        <v>45854</v>
      </c>
      <c r="C24" s="48" t="s">
        <v>58</v>
      </c>
      <c r="D24" s="10">
        <v>250000</v>
      </c>
      <c r="E24" s="4" t="s">
        <v>15</v>
      </c>
      <c r="G24" s="42">
        <v>20</v>
      </c>
      <c r="H24" s="11">
        <v>45909</v>
      </c>
      <c r="I24" s="48" t="s">
        <v>16</v>
      </c>
      <c r="J24" s="10" t="e">
        <f>#REF!</f>
        <v>#REF!</v>
      </c>
      <c r="K24" s="4" t="s">
        <v>165</v>
      </c>
      <c r="M24" s="44"/>
      <c r="N24" s="46"/>
      <c r="O24" s="45"/>
      <c r="P24" s="2"/>
      <c r="Q24" s="4"/>
    </row>
    <row r="25" spans="1:17" x14ac:dyDescent="0.3">
      <c r="A25" s="4">
        <v>21</v>
      </c>
      <c r="B25" s="11">
        <v>45857</v>
      </c>
      <c r="C25" s="48" t="s">
        <v>57</v>
      </c>
      <c r="D25" s="10">
        <v>130000</v>
      </c>
      <c r="E25" s="4" t="s">
        <v>15</v>
      </c>
      <c r="G25" s="42">
        <v>21</v>
      </c>
      <c r="H25" s="11">
        <v>45914</v>
      </c>
      <c r="I25" s="48" t="s">
        <v>16</v>
      </c>
      <c r="J25" s="10" t="e">
        <f>#REF!</f>
        <v>#REF!</v>
      </c>
      <c r="K25" s="4" t="s">
        <v>165</v>
      </c>
      <c r="M25" s="44"/>
      <c r="N25" s="46"/>
      <c r="O25" s="45"/>
      <c r="P25" s="2"/>
      <c r="Q25" s="4"/>
    </row>
    <row r="26" spans="1:17" x14ac:dyDescent="0.3">
      <c r="A26" s="4">
        <v>22</v>
      </c>
      <c r="B26" s="11">
        <v>45858</v>
      </c>
      <c r="C26" s="48" t="s">
        <v>70</v>
      </c>
      <c r="D26" s="10">
        <v>420000</v>
      </c>
      <c r="E26" s="4" t="s">
        <v>18</v>
      </c>
      <c r="G26" s="42">
        <v>22</v>
      </c>
      <c r="H26" s="11">
        <v>45921</v>
      </c>
      <c r="I26" s="48" t="s">
        <v>16</v>
      </c>
      <c r="J26" s="10" t="e">
        <f>#REF!</f>
        <v>#REF!</v>
      </c>
      <c r="K26" s="4" t="s">
        <v>15</v>
      </c>
      <c r="M26" s="44"/>
      <c r="N26" s="46"/>
      <c r="O26" s="45"/>
      <c r="P26" s="2"/>
      <c r="Q26" s="4"/>
    </row>
    <row r="27" spans="1:17" ht="31.2" x14ac:dyDescent="0.3">
      <c r="A27" s="4">
        <v>24</v>
      </c>
      <c r="B27" s="11">
        <v>45859</v>
      </c>
      <c r="C27" s="28" t="s">
        <v>66</v>
      </c>
      <c r="D27" s="10">
        <v>1326000</v>
      </c>
      <c r="E27" s="4" t="s">
        <v>15</v>
      </c>
      <c r="G27" s="4">
        <v>23</v>
      </c>
      <c r="H27" s="11">
        <v>45928</v>
      </c>
      <c r="I27" s="48" t="s">
        <v>16</v>
      </c>
      <c r="J27" s="10" t="e">
        <f>#REF!</f>
        <v>#REF!</v>
      </c>
      <c r="K27" s="4" t="s">
        <v>165</v>
      </c>
      <c r="M27" s="44"/>
      <c r="N27" s="46"/>
      <c r="O27" s="45"/>
      <c r="P27" s="2"/>
      <c r="Q27" s="4"/>
    </row>
    <row r="28" spans="1:17" x14ac:dyDescent="0.3">
      <c r="A28" s="4">
        <v>25</v>
      </c>
      <c r="B28" s="11">
        <v>45860</v>
      </c>
      <c r="C28" s="28" t="s">
        <v>74</v>
      </c>
      <c r="D28" s="10">
        <v>3900000</v>
      </c>
      <c r="E28" s="4" t="s">
        <v>18</v>
      </c>
      <c r="G28" s="42">
        <v>24</v>
      </c>
      <c r="H28" s="11">
        <v>45935</v>
      </c>
      <c r="I28" s="48" t="s">
        <v>16</v>
      </c>
      <c r="J28" s="10" t="e">
        <f>#REF!</f>
        <v>#REF!</v>
      </c>
      <c r="K28" s="4" t="s">
        <v>165</v>
      </c>
      <c r="M28" s="445" t="s">
        <v>27</v>
      </c>
      <c r="N28" s="446"/>
      <c r="O28" s="447"/>
      <c r="P28" s="12">
        <f>SUM(P5:P8)</f>
        <v>20140000</v>
      </c>
      <c r="Q28" s="4"/>
    </row>
    <row r="29" spans="1:17" x14ac:dyDescent="0.3">
      <c r="A29" s="4">
        <v>26</v>
      </c>
      <c r="B29" s="11">
        <v>45860</v>
      </c>
      <c r="C29" s="48" t="s">
        <v>67</v>
      </c>
      <c r="D29" s="10">
        <v>1200000</v>
      </c>
      <c r="E29" s="4" t="s">
        <v>15</v>
      </c>
      <c r="G29" s="4">
        <v>25</v>
      </c>
      <c r="H29" s="11">
        <v>45943</v>
      </c>
      <c r="I29" s="48" t="s">
        <v>16</v>
      </c>
      <c r="J29" s="10" t="e">
        <f>#REF!</f>
        <v>#REF!</v>
      </c>
      <c r="K29" s="4" t="s">
        <v>165</v>
      </c>
    </row>
    <row r="30" spans="1:17" x14ac:dyDescent="0.3">
      <c r="A30" s="4">
        <v>27</v>
      </c>
      <c r="B30" s="11">
        <v>45860</v>
      </c>
      <c r="C30" s="48" t="s">
        <v>71</v>
      </c>
      <c r="D30" s="10">
        <v>840000</v>
      </c>
      <c r="E30" s="4" t="s">
        <v>15</v>
      </c>
      <c r="G30" s="42">
        <v>26</v>
      </c>
      <c r="H30" s="11">
        <v>45950</v>
      </c>
      <c r="I30" s="48" t="s">
        <v>16</v>
      </c>
      <c r="J30" s="10" t="e">
        <f>#REF!</f>
        <v>#REF!</v>
      </c>
      <c r="K30" s="4" t="s">
        <v>165</v>
      </c>
    </row>
    <row r="31" spans="1:17" x14ac:dyDescent="0.3">
      <c r="A31" s="4">
        <v>28</v>
      </c>
      <c r="B31" s="11">
        <v>45861</v>
      </c>
      <c r="C31" s="28" t="s">
        <v>72</v>
      </c>
      <c r="D31" s="10">
        <f>200000+150000</f>
        <v>350000</v>
      </c>
      <c r="E31" s="4" t="s">
        <v>15</v>
      </c>
      <c r="G31" s="42">
        <v>27</v>
      </c>
      <c r="H31" s="11">
        <v>45957</v>
      </c>
      <c r="I31" s="48" t="s">
        <v>16</v>
      </c>
      <c r="J31" s="10" t="e">
        <f>#REF!</f>
        <v>#REF!</v>
      </c>
      <c r="K31" s="4" t="s">
        <v>18</v>
      </c>
    </row>
    <row r="32" spans="1:17" x14ac:dyDescent="0.3">
      <c r="A32" s="4">
        <v>29</v>
      </c>
      <c r="B32" s="11">
        <v>45862</v>
      </c>
      <c r="C32" s="28" t="s">
        <v>73</v>
      </c>
      <c r="D32" s="10">
        <f>222000+100000</f>
        <v>322000</v>
      </c>
      <c r="E32" s="4" t="s">
        <v>137</v>
      </c>
      <c r="G32" s="4">
        <v>28</v>
      </c>
      <c r="H32" s="11">
        <v>45964</v>
      </c>
      <c r="I32" s="48" t="s">
        <v>16</v>
      </c>
      <c r="J32" s="10" t="e">
        <f>#REF!</f>
        <v>#REF!</v>
      </c>
      <c r="K32" s="4" t="s">
        <v>18</v>
      </c>
    </row>
    <row r="33" spans="1:11" x14ac:dyDescent="0.3">
      <c r="A33" s="4">
        <v>30</v>
      </c>
      <c r="B33" s="11">
        <v>45863</v>
      </c>
      <c r="C33" s="28" t="s">
        <v>75</v>
      </c>
      <c r="D33" s="10">
        <v>3700000</v>
      </c>
      <c r="E33" s="4" t="s">
        <v>15</v>
      </c>
      <c r="G33" s="42">
        <v>29</v>
      </c>
      <c r="H33" s="11">
        <f>H32+7</f>
        <v>45971</v>
      </c>
      <c r="I33" s="48" t="s">
        <v>16</v>
      </c>
      <c r="J33" s="10" t="e">
        <f>#REF!</f>
        <v>#REF!</v>
      </c>
      <c r="K33" s="4" t="s">
        <v>18</v>
      </c>
    </row>
    <row r="34" spans="1:11" x14ac:dyDescent="0.3">
      <c r="A34" s="4">
        <v>31</v>
      </c>
      <c r="B34" s="11">
        <v>45863</v>
      </c>
      <c r="C34" s="28" t="s">
        <v>76</v>
      </c>
      <c r="D34" s="10">
        <f>566000+60000+35000+130000+170000</f>
        <v>961000</v>
      </c>
      <c r="E34" s="4" t="s">
        <v>15</v>
      </c>
      <c r="G34" s="42">
        <v>30</v>
      </c>
      <c r="H34" s="11">
        <f t="shared" ref="H34:H38" si="0">H33+7</f>
        <v>45978</v>
      </c>
      <c r="I34" s="48" t="s">
        <v>16</v>
      </c>
      <c r="J34" s="10" t="e">
        <f>#REF!</f>
        <v>#REF!</v>
      </c>
      <c r="K34" s="4" t="s">
        <v>18</v>
      </c>
    </row>
    <row r="35" spans="1:11" x14ac:dyDescent="0.3">
      <c r="A35" s="4">
        <v>32</v>
      </c>
      <c r="B35" s="11">
        <v>45864</v>
      </c>
      <c r="C35" s="28" t="s">
        <v>77</v>
      </c>
      <c r="D35" s="10">
        <v>140000</v>
      </c>
      <c r="E35" s="4" t="s">
        <v>15</v>
      </c>
      <c r="G35" s="4">
        <v>31</v>
      </c>
      <c r="H35" s="11">
        <f t="shared" si="0"/>
        <v>45985</v>
      </c>
      <c r="I35" s="48" t="s">
        <v>16</v>
      </c>
      <c r="J35" s="10" t="e">
        <f>#REF!</f>
        <v>#REF!</v>
      </c>
      <c r="K35" s="4" t="s">
        <v>18</v>
      </c>
    </row>
    <row r="36" spans="1:11" x14ac:dyDescent="0.3">
      <c r="A36" s="4">
        <v>33</v>
      </c>
      <c r="B36" s="11">
        <v>45865</v>
      </c>
      <c r="C36" s="28" t="s">
        <v>78</v>
      </c>
      <c r="D36" s="10">
        <v>140000</v>
      </c>
      <c r="E36" s="4" t="s">
        <v>15</v>
      </c>
      <c r="G36" s="42">
        <v>32</v>
      </c>
      <c r="H36" s="11">
        <f t="shared" si="0"/>
        <v>45992</v>
      </c>
      <c r="I36" s="48" t="s">
        <v>16</v>
      </c>
      <c r="J36" s="10" t="e">
        <f>#REF!</f>
        <v>#REF!</v>
      </c>
      <c r="K36" s="4" t="s">
        <v>268</v>
      </c>
    </row>
    <row r="37" spans="1:11" x14ac:dyDescent="0.3">
      <c r="A37" s="4">
        <v>34</v>
      </c>
      <c r="B37" s="11">
        <v>45868</v>
      </c>
      <c r="C37" s="28" t="s">
        <v>102</v>
      </c>
      <c r="D37" s="10">
        <v>290000</v>
      </c>
      <c r="E37" s="4" t="s">
        <v>15</v>
      </c>
      <c r="G37" s="42">
        <v>33</v>
      </c>
      <c r="H37" s="11">
        <f t="shared" si="0"/>
        <v>45999</v>
      </c>
      <c r="I37" s="48" t="s">
        <v>16</v>
      </c>
      <c r="J37" s="10" t="e">
        <f>#REF!</f>
        <v>#REF!</v>
      </c>
      <c r="K37" s="4" t="s">
        <v>18</v>
      </c>
    </row>
    <row r="38" spans="1:11" x14ac:dyDescent="0.3">
      <c r="A38" s="4">
        <v>35</v>
      </c>
      <c r="B38" s="11">
        <v>45869</v>
      </c>
      <c r="C38" s="28" t="s">
        <v>101</v>
      </c>
      <c r="D38" s="10">
        <v>72000</v>
      </c>
      <c r="E38" s="4" t="s">
        <v>15</v>
      </c>
      <c r="G38" s="4">
        <v>34</v>
      </c>
      <c r="H38" s="11">
        <f t="shared" si="0"/>
        <v>46006</v>
      </c>
      <c r="I38" s="48" t="s">
        <v>16</v>
      </c>
      <c r="J38" s="10" t="e">
        <f>#REF!</f>
        <v>#REF!</v>
      </c>
      <c r="K38" s="4" t="s">
        <v>18</v>
      </c>
    </row>
    <row r="39" spans="1:11" x14ac:dyDescent="0.3">
      <c r="A39" s="4">
        <v>36</v>
      </c>
      <c r="B39" s="11">
        <v>45873</v>
      </c>
      <c r="C39" s="28" t="s">
        <v>100</v>
      </c>
      <c r="D39" s="10">
        <v>800000</v>
      </c>
      <c r="E39" s="4" t="s">
        <v>137</v>
      </c>
      <c r="G39" s="42">
        <v>35</v>
      </c>
      <c r="H39" s="11">
        <v>46014</v>
      </c>
      <c r="I39" s="48" t="s">
        <v>16</v>
      </c>
      <c r="J39" s="10" t="e">
        <f>#REF!</f>
        <v>#REF!</v>
      </c>
      <c r="K39" s="4" t="s">
        <v>18</v>
      </c>
    </row>
    <row r="40" spans="1:11" x14ac:dyDescent="0.3">
      <c r="A40" s="4">
        <v>37</v>
      </c>
      <c r="B40" s="11">
        <v>45874</v>
      </c>
      <c r="C40" s="28" t="s">
        <v>129</v>
      </c>
      <c r="D40" s="10">
        <v>260000</v>
      </c>
      <c r="E40" s="4" t="s">
        <v>15</v>
      </c>
      <c r="G40" s="42">
        <v>36</v>
      </c>
      <c r="H40" s="11">
        <v>46021</v>
      </c>
      <c r="I40" s="48" t="s">
        <v>16</v>
      </c>
      <c r="J40" s="10" t="e">
        <f>#REF!</f>
        <v>#REF!</v>
      </c>
      <c r="K40" s="4" t="s">
        <v>18</v>
      </c>
    </row>
    <row r="41" spans="1:11" x14ac:dyDescent="0.3">
      <c r="A41" s="4">
        <v>38</v>
      </c>
      <c r="B41" s="11">
        <v>45874</v>
      </c>
      <c r="C41" s="28" t="s">
        <v>132</v>
      </c>
      <c r="D41" s="10">
        <v>780000</v>
      </c>
      <c r="E41" s="4" t="s">
        <v>18</v>
      </c>
      <c r="G41" s="4">
        <v>37</v>
      </c>
      <c r="H41" s="11">
        <v>46029</v>
      </c>
      <c r="I41" s="48" t="s">
        <v>16</v>
      </c>
      <c r="J41" s="10" t="e">
        <f>#REF!</f>
        <v>#REF!</v>
      </c>
      <c r="K41" s="4" t="s">
        <v>18</v>
      </c>
    </row>
    <row r="42" spans="1:11" x14ac:dyDescent="0.3">
      <c r="A42" s="4">
        <v>39</v>
      </c>
      <c r="B42" s="11">
        <v>45875</v>
      </c>
      <c r="C42" s="28" t="s">
        <v>131</v>
      </c>
      <c r="D42" s="10">
        <v>1565000</v>
      </c>
      <c r="E42" s="4" t="s">
        <v>18</v>
      </c>
      <c r="G42" s="42">
        <v>38</v>
      </c>
      <c r="H42" s="11">
        <v>46035</v>
      </c>
      <c r="I42" s="48" t="s">
        <v>16</v>
      </c>
      <c r="J42" s="10" t="e">
        <f>#REF!</f>
        <v>#REF!</v>
      </c>
      <c r="K42" s="4" t="s">
        <v>18</v>
      </c>
    </row>
    <row r="43" spans="1:11" x14ac:dyDescent="0.3">
      <c r="A43" s="4">
        <v>40</v>
      </c>
      <c r="B43" s="11">
        <v>45875</v>
      </c>
      <c r="C43" s="28" t="s">
        <v>130</v>
      </c>
      <c r="D43" s="10">
        <v>780000</v>
      </c>
      <c r="E43" s="4" t="s">
        <v>18</v>
      </c>
      <c r="G43" s="4">
        <v>39</v>
      </c>
      <c r="H43" s="11">
        <v>46041</v>
      </c>
      <c r="I43" s="48" t="s">
        <v>16</v>
      </c>
      <c r="J43" s="10" t="e">
        <f>#REF!</f>
        <v>#REF!</v>
      </c>
      <c r="K43" s="4" t="s">
        <v>15</v>
      </c>
    </row>
    <row r="44" spans="1:11" x14ac:dyDescent="0.3">
      <c r="A44" s="4">
        <v>41</v>
      </c>
      <c r="B44" s="11">
        <v>45875</v>
      </c>
      <c r="C44" s="28" t="s">
        <v>135</v>
      </c>
      <c r="D44" s="10">
        <v>73000</v>
      </c>
      <c r="E44" s="4" t="s">
        <v>18</v>
      </c>
      <c r="G44" s="42">
        <v>40</v>
      </c>
      <c r="H44" s="11">
        <v>46048</v>
      </c>
      <c r="I44" s="48" t="s">
        <v>16</v>
      </c>
      <c r="J44" s="10" t="e">
        <f>#REF!</f>
        <v>#REF!</v>
      </c>
      <c r="K44" s="4"/>
    </row>
    <row r="45" spans="1:11" x14ac:dyDescent="0.3">
      <c r="A45" s="4">
        <v>42</v>
      </c>
      <c r="B45" s="11">
        <v>45876</v>
      </c>
      <c r="C45" s="28" t="s">
        <v>132</v>
      </c>
      <c r="D45" s="10">
        <v>104000</v>
      </c>
      <c r="E45" s="4" t="s">
        <v>18</v>
      </c>
      <c r="G45" s="4">
        <v>41</v>
      </c>
      <c r="H45" s="11">
        <v>46057</v>
      </c>
      <c r="I45" s="48" t="s">
        <v>16</v>
      </c>
      <c r="J45" s="10" t="e">
        <f>#REF!</f>
        <v>#REF!</v>
      </c>
      <c r="K45" s="4"/>
    </row>
    <row r="46" spans="1:11" x14ac:dyDescent="0.3">
      <c r="A46" s="4">
        <v>43</v>
      </c>
      <c r="B46" s="11">
        <v>45876</v>
      </c>
      <c r="C46" s="28" t="s">
        <v>133</v>
      </c>
      <c r="D46" s="10">
        <v>4900000</v>
      </c>
      <c r="E46" s="4" t="s">
        <v>18</v>
      </c>
      <c r="G46" s="42">
        <v>42</v>
      </c>
      <c r="H46" s="11">
        <v>46065</v>
      </c>
      <c r="I46" s="48" t="s">
        <v>16</v>
      </c>
      <c r="J46" s="10" t="e">
        <f>#REF!</f>
        <v>#REF!</v>
      </c>
      <c r="K46" s="4"/>
    </row>
    <row r="47" spans="1:11" x14ac:dyDescent="0.3">
      <c r="A47" s="4">
        <v>44</v>
      </c>
      <c r="B47" s="11">
        <v>45876</v>
      </c>
      <c r="C47" s="28" t="s">
        <v>48</v>
      </c>
      <c r="D47" s="10">
        <v>170000</v>
      </c>
      <c r="E47" s="4" t="s">
        <v>18</v>
      </c>
      <c r="G47" s="4">
        <v>43</v>
      </c>
      <c r="H47" s="11"/>
      <c r="I47" s="2"/>
      <c r="J47" s="10"/>
      <c r="K47" s="4"/>
    </row>
    <row r="48" spans="1:11" x14ac:dyDescent="0.3">
      <c r="A48" s="4">
        <v>45</v>
      </c>
      <c r="B48" s="11">
        <v>45876</v>
      </c>
      <c r="C48" s="28" t="s">
        <v>134</v>
      </c>
      <c r="D48" s="10">
        <v>320000</v>
      </c>
      <c r="E48" s="4" t="s">
        <v>18</v>
      </c>
      <c r="G48" s="42">
        <v>44</v>
      </c>
      <c r="H48" s="11"/>
      <c r="I48" s="2"/>
      <c r="J48" s="10"/>
      <c r="K48" s="4"/>
    </row>
    <row r="49" spans="1:11" x14ac:dyDescent="0.3">
      <c r="A49" s="4">
        <v>46</v>
      </c>
      <c r="B49" s="11">
        <v>45876</v>
      </c>
      <c r="C49" s="28" t="s">
        <v>136</v>
      </c>
      <c r="D49" s="10">
        <v>720000</v>
      </c>
      <c r="E49" s="4" t="s">
        <v>137</v>
      </c>
      <c r="G49" s="2"/>
      <c r="H49" s="11"/>
      <c r="I49" s="2"/>
      <c r="J49" s="10"/>
      <c r="K49" s="4"/>
    </row>
    <row r="50" spans="1:11" x14ac:dyDescent="0.3">
      <c r="A50" s="4">
        <v>47</v>
      </c>
      <c r="B50" s="11">
        <v>45877</v>
      </c>
      <c r="C50" s="28" t="s">
        <v>138</v>
      </c>
      <c r="D50" s="10">
        <v>420000</v>
      </c>
      <c r="E50" s="4" t="s">
        <v>18</v>
      </c>
      <c r="G50" s="2"/>
      <c r="H50" s="11"/>
      <c r="I50" s="2"/>
      <c r="J50" s="10"/>
      <c r="K50" s="4"/>
    </row>
    <row r="51" spans="1:11" x14ac:dyDescent="0.3">
      <c r="A51" s="4">
        <v>48</v>
      </c>
      <c r="B51" s="11">
        <v>45877</v>
      </c>
      <c r="C51" s="28" t="s">
        <v>139</v>
      </c>
      <c r="D51" s="10">
        <v>360000</v>
      </c>
      <c r="E51" s="4" t="s">
        <v>18</v>
      </c>
      <c r="G51" s="2"/>
      <c r="H51" s="11"/>
      <c r="I51" s="2"/>
      <c r="J51" s="10"/>
      <c r="K51" s="4"/>
    </row>
    <row r="52" spans="1:11" x14ac:dyDescent="0.3">
      <c r="A52" s="4">
        <v>49</v>
      </c>
      <c r="B52" s="11">
        <v>45877</v>
      </c>
      <c r="C52" s="28" t="s">
        <v>140</v>
      </c>
      <c r="D52" s="10">
        <v>9550000</v>
      </c>
      <c r="E52" s="4" t="s">
        <v>18</v>
      </c>
      <c r="G52" s="2"/>
      <c r="H52" s="11"/>
      <c r="I52" s="2"/>
      <c r="J52" s="10"/>
      <c r="K52" s="4"/>
    </row>
    <row r="53" spans="1:11" x14ac:dyDescent="0.3">
      <c r="A53" s="4">
        <v>50</v>
      </c>
      <c r="B53" s="11">
        <v>45894</v>
      </c>
      <c r="C53" s="28" t="s">
        <v>170</v>
      </c>
      <c r="D53" s="10">
        <v>464000</v>
      </c>
      <c r="E53" s="4" t="s">
        <v>18</v>
      </c>
      <c r="G53" s="2"/>
      <c r="H53" s="11"/>
      <c r="I53" s="2"/>
      <c r="J53" s="10"/>
      <c r="K53" s="4"/>
    </row>
    <row r="54" spans="1:11" ht="31.2" x14ac:dyDescent="0.3">
      <c r="A54" s="4">
        <v>51</v>
      </c>
      <c r="B54" s="11">
        <v>45896</v>
      </c>
      <c r="C54" s="28" t="s">
        <v>169</v>
      </c>
      <c r="D54" s="10">
        <v>1000000</v>
      </c>
      <c r="E54" s="4" t="s">
        <v>18</v>
      </c>
      <c r="G54" s="2"/>
      <c r="H54" s="11"/>
      <c r="I54" s="2"/>
      <c r="J54" s="10"/>
      <c r="K54" s="4"/>
    </row>
    <row r="55" spans="1:11" ht="31.2" x14ac:dyDescent="0.3">
      <c r="A55" s="4">
        <v>52</v>
      </c>
      <c r="B55" s="11">
        <v>45896</v>
      </c>
      <c r="C55" s="28" t="s">
        <v>168</v>
      </c>
      <c r="D55" s="10">
        <v>8650000</v>
      </c>
      <c r="E55" s="4" t="s">
        <v>18</v>
      </c>
      <c r="G55" s="2"/>
      <c r="H55" s="11"/>
      <c r="I55" s="2"/>
      <c r="J55" s="10"/>
      <c r="K55" s="4"/>
    </row>
    <row r="56" spans="1:11" x14ac:dyDescent="0.3">
      <c r="A56" s="4">
        <v>53</v>
      </c>
      <c r="B56" s="11">
        <v>45896</v>
      </c>
      <c r="C56" s="28" t="s">
        <v>179</v>
      </c>
      <c r="D56" s="10">
        <v>500000</v>
      </c>
      <c r="E56" s="4" t="s">
        <v>18</v>
      </c>
      <c r="G56" s="2"/>
      <c r="H56" s="11"/>
      <c r="I56" s="2"/>
      <c r="J56" s="10"/>
      <c r="K56" s="4"/>
    </row>
    <row r="57" spans="1:11" ht="15" customHeight="1" x14ac:dyDescent="0.3">
      <c r="A57" s="4">
        <v>54</v>
      </c>
      <c r="B57" s="11">
        <v>45896</v>
      </c>
      <c r="C57" s="28" t="s">
        <v>167</v>
      </c>
      <c r="D57" s="10">
        <v>772000</v>
      </c>
      <c r="E57" s="4" t="s">
        <v>18</v>
      </c>
      <c r="G57" s="2"/>
      <c r="H57" s="11"/>
      <c r="I57" s="2"/>
      <c r="J57" s="10"/>
      <c r="K57" s="4"/>
    </row>
    <row r="58" spans="1:11" ht="15" customHeight="1" x14ac:dyDescent="0.3">
      <c r="A58" s="4">
        <v>55</v>
      </c>
      <c r="B58" s="11">
        <v>45897</v>
      </c>
      <c r="C58" s="28" t="s">
        <v>182</v>
      </c>
      <c r="D58" s="10">
        <v>179000</v>
      </c>
      <c r="E58" s="4" t="s">
        <v>18</v>
      </c>
      <c r="G58" s="2"/>
      <c r="H58" s="11"/>
      <c r="I58" s="2"/>
      <c r="J58" s="10"/>
      <c r="K58" s="4"/>
    </row>
    <row r="59" spans="1:11" x14ac:dyDescent="0.3">
      <c r="A59" s="4">
        <v>56</v>
      </c>
      <c r="B59" s="11">
        <v>45897</v>
      </c>
      <c r="C59" s="28" t="s">
        <v>177</v>
      </c>
      <c r="D59" s="10">
        <v>394000</v>
      </c>
      <c r="E59" s="4" t="s">
        <v>18</v>
      </c>
      <c r="G59" s="2"/>
      <c r="H59" s="11"/>
      <c r="I59" s="2"/>
      <c r="J59" s="10"/>
      <c r="K59" s="4"/>
    </row>
    <row r="60" spans="1:11" x14ac:dyDescent="0.3">
      <c r="A60" s="4">
        <v>57</v>
      </c>
      <c r="B60" s="11">
        <v>45929</v>
      </c>
      <c r="C60" s="28" t="s">
        <v>181</v>
      </c>
      <c r="D60" s="10">
        <v>446000</v>
      </c>
      <c r="E60" s="4" t="s">
        <v>18</v>
      </c>
      <c r="G60" s="2"/>
      <c r="H60" s="11"/>
      <c r="I60" s="2"/>
      <c r="J60" s="10"/>
      <c r="K60" s="4"/>
    </row>
    <row r="61" spans="1:11" x14ac:dyDescent="0.3">
      <c r="A61" s="4">
        <v>58</v>
      </c>
      <c r="B61" s="11">
        <v>45899</v>
      </c>
      <c r="C61" s="28" t="s">
        <v>166</v>
      </c>
      <c r="D61" s="10">
        <v>430000</v>
      </c>
      <c r="E61" s="4" t="s">
        <v>18</v>
      </c>
      <c r="G61" s="2"/>
      <c r="H61" s="11"/>
      <c r="I61" s="2"/>
      <c r="J61" s="10"/>
      <c r="K61" s="4"/>
    </row>
    <row r="62" spans="1:11" x14ac:dyDescent="0.3">
      <c r="A62" s="4">
        <v>59</v>
      </c>
      <c r="B62" s="11">
        <v>45901</v>
      </c>
      <c r="C62" s="28" t="s">
        <v>180</v>
      </c>
      <c r="D62" s="10">
        <v>620000</v>
      </c>
      <c r="E62" s="4" t="s">
        <v>18</v>
      </c>
      <c r="G62" s="2"/>
      <c r="H62" s="11"/>
      <c r="I62" s="2"/>
      <c r="J62" s="10"/>
      <c r="K62" s="4"/>
    </row>
    <row r="63" spans="1:11" x14ac:dyDescent="0.3">
      <c r="A63" s="4">
        <v>60</v>
      </c>
      <c r="B63" s="11">
        <v>45902</v>
      </c>
      <c r="C63" s="28" t="s">
        <v>181</v>
      </c>
      <c r="D63" s="10">
        <v>710000</v>
      </c>
      <c r="E63" s="4" t="s">
        <v>18</v>
      </c>
      <c r="G63" s="2"/>
      <c r="H63" s="11"/>
      <c r="I63" s="2"/>
      <c r="J63" s="10"/>
      <c r="K63" s="4"/>
    </row>
    <row r="64" spans="1:11" ht="31.2" x14ac:dyDescent="0.3">
      <c r="A64" s="4">
        <v>61</v>
      </c>
      <c r="B64" s="11">
        <v>45903</v>
      </c>
      <c r="C64" s="28" t="s">
        <v>178</v>
      </c>
      <c r="D64" s="10">
        <v>800000</v>
      </c>
      <c r="E64" s="4" t="s">
        <v>204</v>
      </c>
      <c r="G64" s="2"/>
      <c r="H64" s="11"/>
      <c r="I64" s="2"/>
      <c r="J64" s="10"/>
      <c r="K64" s="4"/>
    </row>
    <row r="65" spans="1:11" x14ac:dyDescent="0.3">
      <c r="A65" s="4">
        <v>62</v>
      </c>
      <c r="B65" s="11">
        <v>45904</v>
      </c>
      <c r="C65" s="28" t="s">
        <v>203</v>
      </c>
      <c r="D65" s="10">
        <v>394000</v>
      </c>
      <c r="E65" s="4" t="s">
        <v>18</v>
      </c>
      <c r="G65" s="2"/>
      <c r="H65" s="11"/>
      <c r="I65" s="2"/>
      <c r="J65" s="10"/>
      <c r="K65" s="4"/>
    </row>
    <row r="66" spans="1:11" x14ac:dyDescent="0.3">
      <c r="A66" s="4">
        <v>63</v>
      </c>
      <c r="B66" s="11">
        <v>45905</v>
      </c>
      <c r="C66" s="28" t="s">
        <v>176</v>
      </c>
      <c r="D66" s="10">
        <v>335000</v>
      </c>
      <c r="E66" s="4" t="s">
        <v>18</v>
      </c>
      <c r="G66" s="2"/>
      <c r="H66" s="11"/>
      <c r="I66" s="2"/>
      <c r="J66" s="10"/>
      <c r="K66" s="4"/>
    </row>
    <row r="67" spans="1:11" x14ac:dyDescent="0.3">
      <c r="A67" s="4">
        <v>64</v>
      </c>
      <c r="B67" s="11">
        <v>45905</v>
      </c>
      <c r="C67" s="28" t="s">
        <v>175</v>
      </c>
      <c r="D67" s="10">
        <v>115000</v>
      </c>
      <c r="E67" s="4" t="s">
        <v>18</v>
      </c>
      <c r="G67" s="2"/>
      <c r="H67" s="11"/>
      <c r="I67" s="2"/>
      <c r="J67" s="10"/>
      <c r="K67" s="4"/>
    </row>
    <row r="68" spans="1:11" x14ac:dyDescent="0.3">
      <c r="A68" s="4">
        <v>65</v>
      </c>
      <c r="B68" s="11">
        <v>45907</v>
      </c>
      <c r="C68" s="28" t="s">
        <v>203</v>
      </c>
      <c r="D68" s="10">
        <v>151000</v>
      </c>
      <c r="E68" s="4" t="s">
        <v>18</v>
      </c>
      <c r="G68" s="2"/>
      <c r="H68" s="11"/>
      <c r="I68" s="2"/>
      <c r="J68" s="10"/>
      <c r="K68" s="4"/>
    </row>
    <row r="69" spans="1:11" x14ac:dyDescent="0.3">
      <c r="A69" s="4">
        <v>66</v>
      </c>
      <c r="B69" s="11">
        <v>45907</v>
      </c>
      <c r="C69" s="28" t="s">
        <v>174</v>
      </c>
      <c r="D69" s="10">
        <v>338000</v>
      </c>
      <c r="E69" s="4" t="s">
        <v>18</v>
      </c>
      <c r="G69" s="2"/>
      <c r="H69" s="11"/>
      <c r="I69" s="2"/>
      <c r="J69" s="10"/>
      <c r="K69" s="4"/>
    </row>
    <row r="70" spans="1:11" x14ac:dyDescent="0.3">
      <c r="A70" s="4">
        <v>67</v>
      </c>
      <c r="B70" s="11">
        <v>45907</v>
      </c>
      <c r="C70" s="28" t="s">
        <v>183</v>
      </c>
      <c r="D70" s="10">
        <v>120000</v>
      </c>
      <c r="E70" s="4" t="s">
        <v>18</v>
      </c>
      <c r="G70" s="2"/>
      <c r="H70" s="11"/>
      <c r="I70" s="2"/>
      <c r="J70" s="10"/>
      <c r="K70" s="4"/>
    </row>
    <row r="71" spans="1:11" x14ac:dyDescent="0.3">
      <c r="A71" s="4">
        <v>68</v>
      </c>
      <c r="B71" s="11">
        <v>45909</v>
      </c>
      <c r="C71" s="28" t="s">
        <v>202</v>
      </c>
      <c r="D71" s="10">
        <v>1800000</v>
      </c>
      <c r="E71" s="4" t="s">
        <v>18</v>
      </c>
      <c r="G71" s="2"/>
      <c r="H71" s="11"/>
      <c r="I71" s="2"/>
      <c r="J71" s="10"/>
      <c r="K71" s="4"/>
    </row>
    <row r="72" spans="1:11" x14ac:dyDescent="0.3">
      <c r="A72" s="4">
        <v>69</v>
      </c>
      <c r="B72" s="11">
        <v>45910</v>
      </c>
      <c r="C72" s="28" t="s">
        <v>201</v>
      </c>
      <c r="D72" s="10">
        <v>100000</v>
      </c>
      <c r="E72" s="4" t="s">
        <v>18</v>
      </c>
      <c r="G72" s="2"/>
      <c r="H72" s="11"/>
      <c r="I72" s="2"/>
      <c r="J72" s="10"/>
      <c r="K72" s="4"/>
    </row>
    <row r="73" spans="1:11" x14ac:dyDescent="0.3">
      <c r="A73" s="4">
        <v>70</v>
      </c>
      <c r="B73" s="11">
        <v>45910</v>
      </c>
      <c r="C73" s="28" t="s">
        <v>190</v>
      </c>
      <c r="D73" s="10">
        <v>170000</v>
      </c>
      <c r="E73" s="4" t="s">
        <v>18</v>
      </c>
      <c r="G73" s="2"/>
      <c r="H73" s="11"/>
      <c r="I73" s="2"/>
      <c r="J73" s="10"/>
      <c r="K73" s="4"/>
    </row>
    <row r="74" spans="1:11" x14ac:dyDescent="0.3">
      <c r="A74" s="4">
        <v>71</v>
      </c>
      <c r="B74" s="11">
        <v>45911</v>
      </c>
      <c r="C74" s="28" t="s">
        <v>188</v>
      </c>
      <c r="D74" s="10">
        <v>97000</v>
      </c>
      <c r="E74" s="4" t="s">
        <v>18</v>
      </c>
      <c r="G74" s="2"/>
      <c r="H74" s="11"/>
      <c r="I74" s="2"/>
      <c r="J74" s="10"/>
      <c r="K74" s="4"/>
    </row>
    <row r="75" spans="1:11" x14ac:dyDescent="0.3">
      <c r="A75" s="4">
        <v>72</v>
      </c>
      <c r="B75" s="11">
        <v>45912</v>
      </c>
      <c r="C75" s="28" t="s">
        <v>192</v>
      </c>
      <c r="D75" s="10">
        <v>1900000</v>
      </c>
      <c r="E75" s="4" t="s">
        <v>18</v>
      </c>
      <c r="G75" s="2"/>
      <c r="H75" s="11"/>
      <c r="I75" s="2"/>
      <c r="J75" s="10"/>
      <c r="K75" s="4"/>
    </row>
    <row r="76" spans="1:11" x14ac:dyDescent="0.3">
      <c r="A76" s="4">
        <v>73</v>
      </c>
      <c r="B76" s="11">
        <v>45912</v>
      </c>
      <c r="C76" s="28" t="s">
        <v>200</v>
      </c>
      <c r="D76" s="10">
        <v>100000</v>
      </c>
      <c r="E76" s="4" t="s">
        <v>18</v>
      </c>
      <c r="G76" s="2"/>
      <c r="H76" s="11"/>
      <c r="I76" s="2"/>
      <c r="J76" s="10"/>
      <c r="K76" s="4"/>
    </row>
    <row r="77" spans="1:11" x14ac:dyDescent="0.3">
      <c r="A77" s="4">
        <v>74</v>
      </c>
      <c r="B77" s="11">
        <v>45912</v>
      </c>
      <c r="C77" s="28" t="s">
        <v>193</v>
      </c>
      <c r="D77" s="10">
        <v>1140000</v>
      </c>
      <c r="E77" s="4" t="s">
        <v>18</v>
      </c>
      <c r="G77" s="2"/>
      <c r="H77" s="11"/>
      <c r="I77" s="2"/>
      <c r="J77" s="10"/>
      <c r="K77" s="4"/>
    </row>
    <row r="78" spans="1:11" x14ac:dyDescent="0.3">
      <c r="A78" s="4">
        <v>75</v>
      </c>
      <c r="B78" s="11">
        <v>45913</v>
      </c>
      <c r="C78" s="28" t="s">
        <v>191</v>
      </c>
      <c r="D78" s="10">
        <v>928000</v>
      </c>
      <c r="E78" s="4" t="s">
        <v>18</v>
      </c>
      <c r="G78" s="2"/>
      <c r="H78" s="11"/>
      <c r="I78" s="2"/>
      <c r="J78" s="10"/>
      <c r="K78" s="4"/>
    </row>
    <row r="79" spans="1:11" x14ac:dyDescent="0.3">
      <c r="A79" s="4">
        <v>76</v>
      </c>
      <c r="B79" s="11">
        <v>45913</v>
      </c>
      <c r="C79" s="28" t="s">
        <v>189</v>
      </c>
      <c r="D79" s="10">
        <v>180000</v>
      </c>
      <c r="E79" s="4" t="s">
        <v>18</v>
      </c>
      <c r="G79" s="2"/>
      <c r="H79" s="11"/>
      <c r="I79" s="2"/>
      <c r="J79" s="10"/>
      <c r="K79" s="4"/>
    </row>
    <row r="80" spans="1:11" x14ac:dyDescent="0.3">
      <c r="A80" s="4">
        <v>77</v>
      </c>
      <c r="B80" s="11">
        <v>45914</v>
      </c>
      <c r="C80" s="28" t="s">
        <v>188</v>
      </c>
      <c r="D80" s="10">
        <v>62000</v>
      </c>
      <c r="E80" s="4" t="s">
        <v>18</v>
      </c>
      <c r="G80" s="2"/>
      <c r="H80" s="11"/>
      <c r="I80" s="2"/>
      <c r="J80" s="10"/>
      <c r="K80" s="4"/>
    </row>
    <row r="81" spans="1:11" x14ac:dyDescent="0.3">
      <c r="A81" s="4">
        <v>78</v>
      </c>
      <c r="B81" s="11">
        <v>45915</v>
      </c>
      <c r="C81" s="28" t="s">
        <v>187</v>
      </c>
      <c r="D81" s="10">
        <v>345000</v>
      </c>
      <c r="E81" s="4" t="s">
        <v>18</v>
      </c>
      <c r="G81" s="2"/>
      <c r="H81" s="11"/>
      <c r="I81" s="2"/>
      <c r="J81" s="10"/>
      <c r="K81" s="4"/>
    </row>
    <row r="82" spans="1:11" x14ac:dyDescent="0.3">
      <c r="A82" s="4">
        <v>79</v>
      </c>
      <c r="B82" s="11">
        <v>45916</v>
      </c>
      <c r="C82" s="28" t="s">
        <v>198</v>
      </c>
      <c r="D82" s="10">
        <v>115000</v>
      </c>
      <c r="E82" s="4" t="s">
        <v>18</v>
      </c>
      <c r="G82" s="2"/>
      <c r="H82" s="11"/>
      <c r="I82" s="2"/>
      <c r="J82" s="10"/>
      <c r="K82" s="4"/>
    </row>
    <row r="83" spans="1:11" s="31" customFormat="1" x14ac:dyDescent="0.3">
      <c r="A83" s="4">
        <v>80</v>
      </c>
      <c r="B83" s="11">
        <v>45917</v>
      </c>
      <c r="C83" s="28" t="s">
        <v>199</v>
      </c>
      <c r="D83" s="10">
        <v>611000</v>
      </c>
      <c r="E83" s="4" t="s">
        <v>18</v>
      </c>
      <c r="G83" s="48"/>
      <c r="H83" s="11"/>
      <c r="I83" s="48"/>
      <c r="J83" s="10"/>
      <c r="K83" s="48"/>
    </row>
    <row r="84" spans="1:11" s="31" customFormat="1" x14ac:dyDescent="0.3">
      <c r="A84" s="4">
        <v>81</v>
      </c>
      <c r="B84" s="11">
        <v>45918</v>
      </c>
      <c r="C84" s="28" t="s">
        <v>198</v>
      </c>
      <c r="D84" s="10">
        <v>273000</v>
      </c>
      <c r="E84" s="4" t="s">
        <v>18</v>
      </c>
      <c r="G84" s="48"/>
      <c r="H84" s="11"/>
      <c r="I84" s="48"/>
      <c r="J84" s="10"/>
      <c r="K84" s="48"/>
    </row>
    <row r="85" spans="1:11" s="31" customFormat="1" x14ac:dyDescent="0.3">
      <c r="A85" s="4">
        <v>82</v>
      </c>
      <c r="B85" s="11">
        <v>45919</v>
      </c>
      <c r="C85" s="28" t="s">
        <v>206</v>
      </c>
      <c r="D85" s="10">
        <v>500000</v>
      </c>
      <c r="E85" s="4" t="s">
        <v>15</v>
      </c>
      <c r="G85" s="48"/>
      <c r="H85" s="11"/>
      <c r="I85" s="48"/>
      <c r="J85" s="10"/>
      <c r="K85" s="48"/>
    </row>
    <row r="86" spans="1:11" s="31" customFormat="1" x14ac:dyDescent="0.3">
      <c r="A86" s="4">
        <v>83</v>
      </c>
      <c r="B86" s="141">
        <v>45920</v>
      </c>
      <c r="C86" s="48" t="s">
        <v>197</v>
      </c>
      <c r="D86" s="10">
        <v>684000</v>
      </c>
      <c r="E86" s="4" t="s">
        <v>18</v>
      </c>
      <c r="G86" s="48"/>
      <c r="H86" s="11"/>
      <c r="I86" s="48"/>
      <c r="J86" s="10"/>
      <c r="K86" s="48"/>
    </row>
    <row r="87" spans="1:11" s="31" customFormat="1" x14ac:dyDescent="0.3">
      <c r="A87" s="4">
        <v>84</v>
      </c>
      <c r="B87" s="141">
        <v>45920</v>
      </c>
      <c r="C87" s="48" t="s">
        <v>207</v>
      </c>
      <c r="D87" s="10">
        <v>200000</v>
      </c>
      <c r="E87" s="4" t="s">
        <v>15</v>
      </c>
      <c r="G87" s="48"/>
      <c r="H87" s="11"/>
      <c r="I87" s="48"/>
      <c r="J87" s="10"/>
      <c r="K87" s="48"/>
    </row>
    <row r="88" spans="1:11" s="31" customFormat="1" x14ac:dyDescent="0.3">
      <c r="A88" s="4">
        <v>85</v>
      </c>
      <c r="B88" s="141">
        <v>45922</v>
      </c>
      <c r="C88" s="48" t="s">
        <v>217</v>
      </c>
      <c r="D88" s="10">
        <v>121000</v>
      </c>
      <c r="E88" s="4" t="s">
        <v>18</v>
      </c>
      <c r="G88" s="48"/>
      <c r="H88" s="11"/>
      <c r="I88" s="48"/>
      <c r="J88" s="10"/>
      <c r="K88" s="48"/>
    </row>
    <row r="89" spans="1:11" s="31" customFormat="1" x14ac:dyDescent="0.3">
      <c r="A89" s="4">
        <v>86</v>
      </c>
      <c r="B89" s="141">
        <v>45922</v>
      </c>
      <c r="C89" s="48" t="s">
        <v>217</v>
      </c>
      <c r="D89" s="10">
        <v>235000</v>
      </c>
      <c r="E89" s="4" t="s">
        <v>18</v>
      </c>
      <c r="G89" s="48"/>
      <c r="H89" s="11"/>
      <c r="I89" s="48"/>
      <c r="J89" s="10"/>
      <c r="K89" s="48"/>
    </row>
    <row r="90" spans="1:11" s="31" customFormat="1" x14ac:dyDescent="0.3">
      <c r="A90" s="4">
        <v>87</v>
      </c>
      <c r="B90" s="141">
        <v>45922</v>
      </c>
      <c r="C90" s="48" t="s">
        <v>216</v>
      </c>
      <c r="D90" s="10">
        <v>295000</v>
      </c>
      <c r="E90" s="4" t="s">
        <v>18</v>
      </c>
      <c r="G90" s="48"/>
      <c r="H90" s="11"/>
      <c r="I90" s="48"/>
      <c r="J90" s="10"/>
      <c r="K90" s="48"/>
    </row>
    <row r="91" spans="1:11" s="31" customFormat="1" x14ac:dyDescent="0.3">
      <c r="A91" s="4">
        <v>88</v>
      </c>
      <c r="B91" s="141">
        <v>45923</v>
      </c>
      <c r="C91" s="48" t="s">
        <v>214</v>
      </c>
      <c r="D91" s="10">
        <v>1300000</v>
      </c>
      <c r="E91" s="4" t="s">
        <v>18</v>
      </c>
      <c r="G91" s="48"/>
      <c r="H91" s="11"/>
      <c r="I91" s="48"/>
      <c r="J91" s="10"/>
      <c r="K91" s="48"/>
    </row>
    <row r="92" spans="1:11" s="31" customFormat="1" x14ac:dyDescent="0.3">
      <c r="A92" s="4">
        <v>89</v>
      </c>
      <c r="B92" s="141">
        <v>45925</v>
      </c>
      <c r="C92" s="48" t="s">
        <v>215</v>
      </c>
      <c r="D92" s="10">
        <v>80000</v>
      </c>
      <c r="E92" s="4" t="s">
        <v>18</v>
      </c>
      <c r="G92" s="48"/>
      <c r="H92" s="11"/>
      <c r="I92" s="48"/>
      <c r="J92" s="10"/>
      <c r="K92" s="48"/>
    </row>
    <row r="93" spans="1:11" s="31" customFormat="1" x14ac:dyDescent="0.3">
      <c r="A93" s="4">
        <v>90</v>
      </c>
      <c r="B93" s="141">
        <v>45925</v>
      </c>
      <c r="C93" s="48" t="s">
        <v>213</v>
      </c>
      <c r="D93" s="10">
        <v>7000000</v>
      </c>
      <c r="E93" s="4" t="s">
        <v>18</v>
      </c>
      <c r="G93" s="48"/>
      <c r="H93" s="11"/>
      <c r="I93" s="48"/>
      <c r="J93" s="10"/>
      <c r="K93" s="48"/>
    </row>
    <row r="94" spans="1:11" s="31" customFormat="1" x14ac:dyDescent="0.3">
      <c r="A94" s="4">
        <v>91</v>
      </c>
      <c r="B94" s="141">
        <v>45927</v>
      </c>
      <c r="C94" s="48" t="s">
        <v>212</v>
      </c>
      <c r="D94" s="10">
        <v>605000</v>
      </c>
      <c r="E94" s="4" t="s">
        <v>18</v>
      </c>
      <c r="G94" s="48"/>
      <c r="H94" s="11"/>
      <c r="I94" s="48"/>
      <c r="J94" s="10"/>
      <c r="K94" s="48"/>
    </row>
    <row r="95" spans="1:11" s="31" customFormat="1" x14ac:dyDescent="0.3">
      <c r="A95" s="4">
        <v>92</v>
      </c>
      <c r="B95" s="141">
        <v>45927</v>
      </c>
      <c r="C95" s="48" t="s">
        <v>211</v>
      </c>
      <c r="D95" s="10">
        <v>210000</v>
      </c>
      <c r="E95" s="4" t="s">
        <v>18</v>
      </c>
      <c r="G95" s="48"/>
      <c r="H95" s="11"/>
      <c r="I95" s="48"/>
      <c r="J95" s="10"/>
      <c r="K95" s="48"/>
    </row>
    <row r="96" spans="1:11" s="31" customFormat="1" x14ac:dyDescent="0.3">
      <c r="A96" s="4">
        <v>93</v>
      </c>
      <c r="B96" s="141">
        <v>45928</v>
      </c>
      <c r="C96" s="48" t="s">
        <v>210</v>
      </c>
      <c r="D96" s="10">
        <v>500000</v>
      </c>
      <c r="E96" s="4" t="s">
        <v>15</v>
      </c>
      <c r="G96" s="48"/>
      <c r="H96" s="11"/>
      <c r="I96" s="48"/>
      <c r="J96" s="10"/>
      <c r="K96" s="48"/>
    </row>
    <row r="97" spans="1:11" s="31" customFormat="1" x14ac:dyDescent="0.3">
      <c r="A97" s="4">
        <v>94</v>
      </c>
      <c r="B97" s="141">
        <v>45929</v>
      </c>
      <c r="C97" s="48" t="s">
        <v>267</v>
      </c>
      <c r="D97" s="10">
        <v>1000000</v>
      </c>
      <c r="E97" s="4" t="s">
        <v>18</v>
      </c>
      <c r="G97" s="48"/>
      <c r="H97" s="11"/>
      <c r="I97" s="48"/>
      <c r="J97" s="10"/>
      <c r="K97" s="48"/>
    </row>
    <row r="98" spans="1:11" s="31" customFormat="1" x14ac:dyDescent="0.3">
      <c r="A98" s="4">
        <v>95</v>
      </c>
      <c r="B98" s="141">
        <v>45932</v>
      </c>
      <c r="C98" s="48" t="s">
        <v>251</v>
      </c>
      <c r="D98" s="10">
        <v>230000</v>
      </c>
      <c r="E98" s="4" t="s">
        <v>18</v>
      </c>
      <c r="G98" s="48"/>
      <c r="H98" s="11"/>
      <c r="I98" s="48"/>
      <c r="J98" s="10"/>
      <c r="K98" s="48"/>
    </row>
    <row r="99" spans="1:11" s="31" customFormat="1" x14ac:dyDescent="0.3">
      <c r="A99" s="4">
        <v>96</v>
      </c>
      <c r="B99" s="141">
        <v>45932</v>
      </c>
      <c r="C99" s="48" t="s">
        <v>266</v>
      </c>
      <c r="D99" s="10">
        <v>224000</v>
      </c>
      <c r="E99" s="4" t="s">
        <v>18</v>
      </c>
      <c r="G99" s="48"/>
      <c r="H99" s="11"/>
      <c r="I99" s="48"/>
      <c r="J99" s="10"/>
      <c r="K99" s="48"/>
    </row>
    <row r="100" spans="1:11" s="31" customFormat="1" x14ac:dyDescent="0.3">
      <c r="A100" s="4">
        <v>97</v>
      </c>
      <c r="B100" s="141">
        <v>45934</v>
      </c>
      <c r="C100" s="48" t="s">
        <v>265</v>
      </c>
      <c r="D100" s="10">
        <v>1640000</v>
      </c>
      <c r="E100" s="4" t="s">
        <v>18</v>
      </c>
      <c r="G100" s="48"/>
      <c r="H100" s="11"/>
      <c r="I100" s="48"/>
      <c r="J100" s="10"/>
      <c r="K100" s="48"/>
    </row>
    <row r="101" spans="1:11" s="31" customFormat="1" x14ac:dyDescent="0.3">
      <c r="A101" s="4">
        <v>98</v>
      </c>
      <c r="B101" s="141">
        <v>45935</v>
      </c>
      <c r="C101" s="48" t="s">
        <v>251</v>
      </c>
      <c r="D101" s="10">
        <v>1293000</v>
      </c>
      <c r="E101" s="4" t="s">
        <v>18</v>
      </c>
      <c r="G101" s="48"/>
      <c r="H101" s="11"/>
      <c r="I101" s="48"/>
      <c r="J101" s="10"/>
      <c r="K101" s="48"/>
    </row>
    <row r="102" spans="1:11" s="31" customFormat="1" x14ac:dyDescent="0.3">
      <c r="A102" s="4">
        <v>99</v>
      </c>
      <c r="B102" s="141">
        <v>45935</v>
      </c>
      <c r="C102" s="48" t="s">
        <v>251</v>
      </c>
      <c r="D102" s="10">
        <v>159000</v>
      </c>
      <c r="E102" s="4" t="s">
        <v>18</v>
      </c>
      <c r="G102" s="48"/>
      <c r="H102" s="11"/>
      <c r="I102" s="48"/>
      <c r="J102" s="10"/>
      <c r="K102" s="48"/>
    </row>
    <row r="103" spans="1:11" s="31" customFormat="1" x14ac:dyDescent="0.3">
      <c r="A103" s="4">
        <v>100</v>
      </c>
      <c r="B103" s="141">
        <v>45937</v>
      </c>
      <c r="C103" s="48" t="s">
        <v>251</v>
      </c>
      <c r="D103" s="10">
        <v>95000</v>
      </c>
      <c r="E103" s="4" t="s">
        <v>18</v>
      </c>
      <c r="G103" s="48"/>
      <c r="H103" s="11"/>
      <c r="I103" s="48"/>
      <c r="J103" s="10"/>
      <c r="K103" s="48"/>
    </row>
    <row r="104" spans="1:11" s="31" customFormat="1" x14ac:dyDescent="0.3">
      <c r="A104" s="4">
        <v>101</v>
      </c>
      <c r="B104" s="141">
        <v>45938</v>
      </c>
      <c r="C104" s="48" t="s">
        <v>251</v>
      </c>
      <c r="D104" s="10">
        <v>124000</v>
      </c>
      <c r="E104" s="4" t="s">
        <v>18</v>
      </c>
      <c r="G104" s="48"/>
      <c r="H104" s="11"/>
      <c r="I104" s="48"/>
      <c r="J104" s="10"/>
      <c r="K104" s="48"/>
    </row>
    <row r="105" spans="1:11" s="31" customFormat="1" x14ac:dyDescent="0.3">
      <c r="A105" s="4">
        <v>102</v>
      </c>
      <c r="B105" s="141">
        <v>45938</v>
      </c>
      <c r="C105" s="48" t="s">
        <v>251</v>
      </c>
      <c r="D105" s="10">
        <v>99000</v>
      </c>
      <c r="E105" s="4" t="s">
        <v>18</v>
      </c>
      <c r="G105" s="48"/>
      <c r="H105" s="11"/>
      <c r="I105" s="48"/>
      <c r="J105" s="10"/>
      <c r="K105" s="48"/>
    </row>
    <row r="106" spans="1:11" s="31" customFormat="1" x14ac:dyDescent="0.3">
      <c r="A106" s="4">
        <v>103</v>
      </c>
      <c r="B106" s="141">
        <v>45938</v>
      </c>
      <c r="C106" s="48" t="s">
        <v>251</v>
      </c>
      <c r="D106" s="10">
        <v>99000</v>
      </c>
      <c r="E106" s="4" t="s">
        <v>18</v>
      </c>
      <c r="G106" s="48"/>
      <c r="H106" s="11"/>
      <c r="I106" s="48"/>
      <c r="J106" s="10"/>
      <c r="K106" s="48"/>
    </row>
    <row r="107" spans="1:11" s="31" customFormat="1" x14ac:dyDescent="0.3">
      <c r="A107" s="4">
        <v>104</v>
      </c>
      <c r="B107" s="141"/>
      <c r="C107" s="48" t="s">
        <v>276</v>
      </c>
      <c r="D107" s="10">
        <v>1000000</v>
      </c>
      <c r="E107" s="4" t="s">
        <v>15</v>
      </c>
      <c r="G107" s="48"/>
      <c r="H107" s="11"/>
      <c r="I107" s="48"/>
      <c r="J107" s="10"/>
      <c r="K107" s="48"/>
    </row>
    <row r="108" spans="1:11" s="31" customFormat="1" x14ac:dyDescent="0.3">
      <c r="A108" s="4">
        <v>105</v>
      </c>
      <c r="B108" s="141">
        <v>45938</v>
      </c>
      <c r="C108" s="48" t="s">
        <v>264</v>
      </c>
      <c r="D108" s="10">
        <v>7900000</v>
      </c>
      <c r="E108" s="4" t="s">
        <v>18</v>
      </c>
      <c r="G108" s="48"/>
      <c r="H108" s="11"/>
      <c r="I108" s="48"/>
      <c r="J108" s="10"/>
      <c r="K108" s="48"/>
    </row>
    <row r="109" spans="1:11" s="31" customFormat="1" x14ac:dyDescent="0.3">
      <c r="A109" s="4">
        <v>106</v>
      </c>
      <c r="B109" s="141">
        <v>45939</v>
      </c>
      <c r="C109" s="48" t="s">
        <v>251</v>
      </c>
      <c r="D109" s="10">
        <v>312000</v>
      </c>
      <c r="E109" s="4" t="s">
        <v>18</v>
      </c>
      <c r="G109" s="48"/>
      <c r="H109" s="11"/>
      <c r="I109" s="48"/>
      <c r="J109" s="10"/>
      <c r="K109" s="48"/>
    </row>
    <row r="110" spans="1:11" s="31" customFormat="1" x14ac:dyDescent="0.3">
      <c r="A110" s="4">
        <v>107</v>
      </c>
      <c r="B110" s="141">
        <v>45940</v>
      </c>
      <c r="C110" s="48" t="s">
        <v>251</v>
      </c>
      <c r="D110" s="10">
        <v>250000</v>
      </c>
      <c r="E110" s="4" t="s">
        <v>18</v>
      </c>
      <c r="G110" s="48"/>
      <c r="H110" s="11"/>
      <c r="I110" s="48"/>
      <c r="J110" s="10"/>
      <c r="K110" s="48"/>
    </row>
    <row r="111" spans="1:11" s="31" customFormat="1" x14ac:dyDescent="0.3">
      <c r="A111" s="4">
        <v>108</v>
      </c>
      <c r="B111" s="141">
        <v>45940</v>
      </c>
      <c r="C111" s="48" t="s">
        <v>251</v>
      </c>
      <c r="D111" s="10">
        <v>222000</v>
      </c>
      <c r="E111" s="4" t="s">
        <v>18</v>
      </c>
      <c r="G111" s="48"/>
      <c r="H111" s="11"/>
      <c r="I111" s="48"/>
      <c r="J111" s="10"/>
      <c r="K111" s="48"/>
    </row>
    <row r="112" spans="1:11" s="31" customFormat="1" x14ac:dyDescent="0.3">
      <c r="A112" s="4">
        <v>109</v>
      </c>
      <c r="B112" s="141">
        <v>45941</v>
      </c>
      <c r="C112" s="48" t="s">
        <v>251</v>
      </c>
      <c r="D112" s="10">
        <v>885000</v>
      </c>
      <c r="E112" s="4" t="s">
        <v>18</v>
      </c>
      <c r="G112" s="48"/>
      <c r="H112" s="11"/>
      <c r="I112" s="48"/>
      <c r="J112" s="10"/>
      <c r="K112" s="48"/>
    </row>
    <row r="113" spans="1:11" s="31" customFormat="1" x14ac:dyDescent="0.3">
      <c r="A113" s="4">
        <v>110</v>
      </c>
      <c r="B113" s="141">
        <v>45941</v>
      </c>
      <c r="C113" s="48" t="s">
        <v>251</v>
      </c>
      <c r="D113" s="10">
        <v>820000</v>
      </c>
      <c r="E113" s="4" t="s">
        <v>18</v>
      </c>
      <c r="G113" s="48"/>
      <c r="H113" s="11"/>
      <c r="I113" s="48"/>
      <c r="J113" s="10"/>
      <c r="K113" s="48"/>
    </row>
    <row r="114" spans="1:11" s="31" customFormat="1" x14ac:dyDescent="0.3">
      <c r="A114" s="4">
        <v>111</v>
      </c>
      <c r="B114" s="141">
        <v>45942</v>
      </c>
      <c r="C114" s="48" t="s">
        <v>251</v>
      </c>
      <c r="D114" s="10">
        <v>300000</v>
      </c>
      <c r="E114" s="4" t="s">
        <v>18</v>
      </c>
      <c r="G114" s="48"/>
      <c r="H114" s="11"/>
      <c r="I114" s="48"/>
      <c r="J114" s="10"/>
      <c r="K114" s="48"/>
    </row>
    <row r="115" spans="1:11" s="31" customFormat="1" x14ac:dyDescent="0.3">
      <c r="A115" s="4">
        <v>112</v>
      </c>
      <c r="B115" s="141">
        <v>45942</v>
      </c>
      <c r="C115" s="48" t="s">
        <v>251</v>
      </c>
      <c r="D115" s="10">
        <v>340000</v>
      </c>
      <c r="E115" s="4" t="s">
        <v>18</v>
      </c>
      <c r="G115" s="48"/>
      <c r="H115" s="11"/>
      <c r="I115" s="48"/>
      <c r="J115" s="10"/>
      <c r="K115" s="48"/>
    </row>
    <row r="116" spans="1:11" s="31" customFormat="1" x14ac:dyDescent="0.3">
      <c r="A116" s="4">
        <v>113</v>
      </c>
      <c r="B116" s="141">
        <v>45944</v>
      </c>
      <c r="C116" s="48" t="s">
        <v>251</v>
      </c>
      <c r="D116" s="10">
        <v>159000</v>
      </c>
      <c r="E116" s="4" t="s">
        <v>18</v>
      </c>
      <c r="G116" s="48"/>
      <c r="H116" s="11"/>
      <c r="I116" s="48"/>
      <c r="J116" s="10"/>
      <c r="K116" s="48"/>
    </row>
    <row r="117" spans="1:11" s="31" customFormat="1" x14ac:dyDescent="0.3">
      <c r="A117" s="4">
        <v>114</v>
      </c>
      <c r="B117" s="141">
        <v>45944</v>
      </c>
      <c r="C117" s="48" t="s">
        <v>251</v>
      </c>
      <c r="D117" s="10">
        <v>573000</v>
      </c>
      <c r="E117" s="4" t="s">
        <v>18</v>
      </c>
      <c r="G117" s="48"/>
      <c r="H117" s="11"/>
      <c r="I117" s="48"/>
      <c r="J117" s="10"/>
      <c r="K117" s="48"/>
    </row>
    <row r="118" spans="1:11" s="31" customFormat="1" x14ac:dyDescent="0.3">
      <c r="A118" s="4">
        <v>115</v>
      </c>
      <c r="B118" s="141">
        <v>45945</v>
      </c>
      <c r="C118" s="48" t="s">
        <v>251</v>
      </c>
      <c r="D118" s="10">
        <v>159000</v>
      </c>
      <c r="E118" s="4" t="s">
        <v>18</v>
      </c>
      <c r="G118" s="48"/>
      <c r="H118" s="11"/>
      <c r="I118" s="48"/>
      <c r="J118" s="10"/>
      <c r="K118" s="48"/>
    </row>
    <row r="119" spans="1:11" s="31" customFormat="1" x14ac:dyDescent="0.3">
      <c r="A119" s="4">
        <v>116</v>
      </c>
      <c r="B119" s="141">
        <v>45945</v>
      </c>
      <c r="C119" s="48" t="s">
        <v>251</v>
      </c>
      <c r="D119" s="10">
        <v>85000</v>
      </c>
      <c r="E119" s="4" t="s">
        <v>18</v>
      </c>
      <c r="G119" s="48"/>
      <c r="H119" s="11"/>
      <c r="I119" s="48"/>
      <c r="J119" s="10"/>
      <c r="K119" s="48"/>
    </row>
    <row r="120" spans="1:11" s="31" customFormat="1" x14ac:dyDescent="0.3">
      <c r="A120" s="4">
        <v>117</v>
      </c>
      <c r="B120" s="141">
        <v>45946</v>
      </c>
      <c r="C120" s="48" t="s">
        <v>251</v>
      </c>
      <c r="D120" s="10">
        <v>206000</v>
      </c>
      <c r="E120" s="4" t="s">
        <v>18</v>
      </c>
      <c r="G120" s="48"/>
      <c r="H120" s="11"/>
      <c r="I120" s="48"/>
      <c r="J120" s="10"/>
      <c r="K120" s="48"/>
    </row>
    <row r="121" spans="1:11" s="31" customFormat="1" x14ac:dyDescent="0.3">
      <c r="A121" s="4">
        <v>118</v>
      </c>
      <c r="B121" s="141">
        <v>45948</v>
      </c>
      <c r="C121" s="48" t="s">
        <v>251</v>
      </c>
      <c r="D121" s="10">
        <v>111000</v>
      </c>
      <c r="E121" s="4" t="s">
        <v>18</v>
      </c>
      <c r="G121" s="48"/>
      <c r="H121" s="11"/>
      <c r="I121" s="48"/>
      <c r="J121" s="10"/>
      <c r="K121" s="48"/>
    </row>
    <row r="122" spans="1:11" s="31" customFormat="1" x14ac:dyDescent="0.3">
      <c r="A122" s="4">
        <v>119</v>
      </c>
      <c r="B122" s="141">
        <v>45949</v>
      </c>
      <c r="C122" s="48" t="s">
        <v>251</v>
      </c>
      <c r="D122" s="10">
        <v>78000</v>
      </c>
      <c r="E122" s="4" t="s">
        <v>18</v>
      </c>
      <c r="G122" s="48"/>
      <c r="H122" s="11"/>
      <c r="I122" s="48"/>
      <c r="J122" s="10"/>
      <c r="K122" s="48"/>
    </row>
    <row r="123" spans="1:11" s="31" customFormat="1" x14ac:dyDescent="0.3">
      <c r="A123" s="4">
        <v>120</v>
      </c>
      <c r="B123" s="141">
        <v>45951</v>
      </c>
      <c r="C123" s="48" t="s">
        <v>251</v>
      </c>
      <c r="D123" s="10">
        <v>102000</v>
      </c>
      <c r="E123" s="4" t="s">
        <v>18</v>
      </c>
      <c r="G123" s="48"/>
      <c r="H123" s="11"/>
      <c r="I123" s="48"/>
      <c r="J123" s="10"/>
      <c r="K123" s="48"/>
    </row>
    <row r="124" spans="1:11" s="31" customFormat="1" x14ac:dyDescent="0.3">
      <c r="A124" s="4">
        <v>121</v>
      </c>
      <c r="B124" s="141">
        <v>45951</v>
      </c>
      <c r="C124" s="48" t="s">
        <v>251</v>
      </c>
      <c r="D124" s="10">
        <v>488000</v>
      </c>
      <c r="E124" s="4" t="s">
        <v>18</v>
      </c>
      <c r="G124" s="48"/>
      <c r="H124" s="11"/>
      <c r="I124" s="48"/>
      <c r="J124" s="10"/>
      <c r="K124" s="48"/>
    </row>
    <row r="125" spans="1:11" s="31" customFormat="1" x14ac:dyDescent="0.3">
      <c r="A125" s="4">
        <v>122</v>
      </c>
      <c r="B125" s="141">
        <v>45953</v>
      </c>
      <c r="C125" s="48" t="s">
        <v>251</v>
      </c>
      <c r="D125" s="10">
        <v>71000</v>
      </c>
      <c r="E125" s="4" t="s">
        <v>18</v>
      </c>
      <c r="G125" s="48"/>
      <c r="H125" s="11"/>
      <c r="I125" s="48"/>
      <c r="J125" s="10"/>
      <c r="K125" s="48"/>
    </row>
    <row r="126" spans="1:11" s="31" customFormat="1" x14ac:dyDescent="0.3">
      <c r="A126" s="4">
        <v>123</v>
      </c>
      <c r="B126" s="141">
        <v>45953</v>
      </c>
      <c r="C126" s="48" t="s">
        <v>251</v>
      </c>
      <c r="D126" s="10">
        <v>90000</v>
      </c>
      <c r="E126" s="4" t="s">
        <v>18</v>
      </c>
      <c r="G126" s="48"/>
      <c r="H126" s="11"/>
      <c r="I126" s="48"/>
      <c r="J126" s="10"/>
      <c r="K126" s="48"/>
    </row>
    <row r="127" spans="1:11" s="31" customFormat="1" x14ac:dyDescent="0.3">
      <c r="A127" s="4">
        <v>124</v>
      </c>
      <c r="B127" s="141">
        <v>45954</v>
      </c>
      <c r="C127" s="48" t="s">
        <v>234</v>
      </c>
      <c r="D127" s="10">
        <v>422000</v>
      </c>
      <c r="E127" s="4" t="s">
        <v>18</v>
      </c>
      <c r="G127" s="48"/>
      <c r="H127" s="11"/>
      <c r="I127" s="48"/>
      <c r="J127" s="10"/>
      <c r="K127" s="48"/>
    </row>
    <row r="128" spans="1:11" s="31" customFormat="1" x14ac:dyDescent="0.3">
      <c r="A128" s="4">
        <v>125</v>
      </c>
      <c r="B128" s="141">
        <v>45955</v>
      </c>
      <c r="C128" s="48" t="s">
        <v>234</v>
      </c>
      <c r="D128" s="10">
        <v>608000</v>
      </c>
      <c r="E128" s="4" t="s">
        <v>18</v>
      </c>
      <c r="G128" s="48"/>
      <c r="H128" s="11"/>
      <c r="I128" s="48"/>
      <c r="J128" s="10"/>
      <c r="K128" s="48"/>
    </row>
    <row r="129" spans="1:11" s="31" customFormat="1" x14ac:dyDescent="0.3">
      <c r="A129" s="4">
        <v>126</v>
      </c>
      <c r="B129" s="141">
        <v>45956</v>
      </c>
      <c r="C129" s="48" t="s">
        <v>234</v>
      </c>
      <c r="D129" s="10">
        <v>1780000</v>
      </c>
      <c r="E129" s="4" t="s">
        <v>18</v>
      </c>
      <c r="G129" s="48"/>
      <c r="H129" s="11"/>
      <c r="I129" s="48"/>
      <c r="J129" s="10"/>
      <c r="K129" s="48"/>
    </row>
    <row r="130" spans="1:11" s="31" customFormat="1" x14ac:dyDescent="0.3">
      <c r="A130" s="4">
        <v>127</v>
      </c>
      <c r="B130" s="141">
        <v>45956</v>
      </c>
      <c r="C130" s="48" t="s">
        <v>234</v>
      </c>
      <c r="D130" s="10">
        <v>530000</v>
      </c>
      <c r="E130" s="4" t="s">
        <v>18</v>
      </c>
      <c r="G130" s="48"/>
      <c r="H130" s="11"/>
      <c r="I130" s="48"/>
      <c r="J130" s="10"/>
      <c r="K130" s="48"/>
    </row>
    <row r="131" spans="1:11" s="31" customFormat="1" x14ac:dyDescent="0.3">
      <c r="A131" s="4">
        <v>128</v>
      </c>
      <c r="B131" s="141">
        <v>45956</v>
      </c>
      <c r="C131" s="48" t="s">
        <v>251</v>
      </c>
      <c r="D131" s="10">
        <v>925000</v>
      </c>
      <c r="E131" s="4" t="s">
        <v>18</v>
      </c>
      <c r="G131" s="48"/>
      <c r="H131" s="11"/>
      <c r="I131" s="48"/>
      <c r="J131" s="10"/>
      <c r="K131" s="48"/>
    </row>
    <row r="132" spans="1:11" s="31" customFormat="1" x14ac:dyDescent="0.3">
      <c r="A132" s="4">
        <v>129</v>
      </c>
      <c r="B132" s="141">
        <v>45957</v>
      </c>
      <c r="C132" s="48" t="s">
        <v>263</v>
      </c>
      <c r="D132" s="10">
        <v>1250000</v>
      </c>
      <c r="E132" s="4" t="s">
        <v>18</v>
      </c>
      <c r="G132" s="48"/>
      <c r="H132" s="11"/>
      <c r="I132" s="48"/>
      <c r="J132" s="10"/>
      <c r="K132" s="48"/>
    </row>
    <row r="133" spans="1:11" s="31" customFormat="1" x14ac:dyDescent="0.3">
      <c r="A133" s="4">
        <v>130</v>
      </c>
      <c r="B133" s="141">
        <v>45957</v>
      </c>
      <c r="C133" s="48" t="s">
        <v>251</v>
      </c>
      <c r="D133" s="10">
        <v>135000</v>
      </c>
      <c r="E133" s="4" t="s">
        <v>18</v>
      </c>
      <c r="G133" s="48"/>
      <c r="H133" s="11"/>
      <c r="I133" s="48"/>
      <c r="J133" s="10"/>
      <c r="K133" s="48"/>
    </row>
    <row r="134" spans="1:11" s="31" customFormat="1" x14ac:dyDescent="0.3">
      <c r="A134" s="4">
        <v>131</v>
      </c>
      <c r="B134" s="141">
        <v>45959</v>
      </c>
      <c r="C134" s="48" t="s">
        <v>234</v>
      </c>
      <c r="D134" s="10">
        <v>420000</v>
      </c>
      <c r="E134" s="4" t="s">
        <v>18</v>
      </c>
      <c r="G134" s="48"/>
      <c r="H134" s="11"/>
      <c r="I134" s="48"/>
      <c r="J134" s="10"/>
      <c r="K134" s="48"/>
    </row>
    <row r="135" spans="1:11" s="31" customFormat="1" x14ac:dyDescent="0.3">
      <c r="A135" s="4">
        <v>132</v>
      </c>
      <c r="B135" s="141">
        <v>45960</v>
      </c>
      <c r="C135" s="48" t="s">
        <v>262</v>
      </c>
      <c r="D135" s="10">
        <v>780000</v>
      </c>
      <c r="E135" s="4" t="s">
        <v>18</v>
      </c>
      <c r="G135" s="48"/>
      <c r="H135" s="11"/>
      <c r="I135" s="48"/>
      <c r="J135" s="10"/>
      <c r="K135" s="48"/>
    </row>
    <row r="136" spans="1:11" s="31" customFormat="1" x14ac:dyDescent="0.3">
      <c r="A136" s="4">
        <v>133</v>
      </c>
      <c r="B136" s="141">
        <v>45960</v>
      </c>
      <c r="C136" s="48" t="s">
        <v>251</v>
      </c>
      <c r="D136" s="10">
        <v>1110000</v>
      </c>
      <c r="E136" s="4" t="s">
        <v>18</v>
      </c>
      <c r="G136" s="48"/>
      <c r="H136" s="11"/>
      <c r="I136" s="48"/>
      <c r="J136" s="10"/>
      <c r="K136" s="48"/>
    </row>
    <row r="137" spans="1:11" s="31" customFormat="1" x14ac:dyDescent="0.3">
      <c r="A137" s="4">
        <v>134</v>
      </c>
      <c r="B137" s="141">
        <v>45961</v>
      </c>
      <c r="C137" s="48" t="s">
        <v>251</v>
      </c>
      <c r="D137" s="10">
        <v>614000</v>
      </c>
      <c r="E137" s="4" t="s">
        <v>18</v>
      </c>
      <c r="G137" s="48"/>
      <c r="H137" s="11"/>
      <c r="I137" s="48"/>
      <c r="J137" s="10"/>
      <c r="K137" s="48"/>
    </row>
    <row r="138" spans="1:11" s="31" customFormat="1" x14ac:dyDescent="0.3">
      <c r="A138" s="4">
        <v>135</v>
      </c>
      <c r="B138" s="141">
        <v>45961</v>
      </c>
      <c r="C138" s="48" t="s">
        <v>251</v>
      </c>
      <c r="D138" s="10">
        <v>540000</v>
      </c>
      <c r="E138" s="4" t="s">
        <v>18</v>
      </c>
      <c r="G138" s="48"/>
      <c r="H138" s="11"/>
      <c r="I138" s="48"/>
      <c r="J138" s="10"/>
      <c r="K138" s="48"/>
    </row>
    <row r="139" spans="1:11" s="31" customFormat="1" x14ac:dyDescent="0.3">
      <c r="A139" s="4">
        <v>136</v>
      </c>
      <c r="B139" s="141">
        <v>45964</v>
      </c>
      <c r="C139" s="48" t="s">
        <v>261</v>
      </c>
      <c r="D139" s="10">
        <v>500000</v>
      </c>
      <c r="E139" s="4" t="s">
        <v>18</v>
      </c>
      <c r="G139" s="48"/>
      <c r="H139" s="11"/>
      <c r="I139" s="48"/>
      <c r="J139" s="10"/>
      <c r="K139" s="48"/>
    </row>
    <row r="140" spans="1:11" s="31" customFormat="1" x14ac:dyDescent="0.3">
      <c r="A140" s="4">
        <v>137</v>
      </c>
      <c r="B140" s="141">
        <v>45964</v>
      </c>
      <c r="C140" s="48" t="s">
        <v>260</v>
      </c>
      <c r="D140" s="10">
        <v>4800000</v>
      </c>
      <c r="E140" s="4" t="s">
        <v>18</v>
      </c>
      <c r="G140" s="48"/>
      <c r="H140" s="11"/>
      <c r="I140" s="48"/>
      <c r="J140" s="48"/>
      <c r="K140" s="48"/>
    </row>
    <row r="141" spans="1:11" s="31" customFormat="1" x14ac:dyDescent="0.3">
      <c r="A141" s="4">
        <v>138</v>
      </c>
      <c r="B141" s="141">
        <v>45964</v>
      </c>
      <c r="C141" s="48" t="s">
        <v>259</v>
      </c>
      <c r="D141" s="10">
        <v>200000</v>
      </c>
      <c r="E141" s="4" t="s">
        <v>18</v>
      </c>
      <c r="G141" s="48"/>
      <c r="H141" s="11"/>
      <c r="I141" s="48"/>
      <c r="J141" s="48"/>
      <c r="K141" s="48"/>
    </row>
    <row r="142" spans="1:11" s="31" customFormat="1" x14ac:dyDescent="0.3">
      <c r="A142" s="4">
        <v>139</v>
      </c>
      <c r="B142" s="141">
        <v>45965</v>
      </c>
      <c r="C142" s="48" t="s">
        <v>257</v>
      </c>
      <c r="D142" s="10">
        <v>400000</v>
      </c>
      <c r="E142" s="4" t="s">
        <v>18</v>
      </c>
      <c r="G142" s="48"/>
      <c r="H142" s="11"/>
      <c r="I142" s="48"/>
      <c r="J142" s="48"/>
      <c r="K142" s="48"/>
    </row>
    <row r="143" spans="1:11" s="31" customFormat="1" x14ac:dyDescent="0.3">
      <c r="A143" s="4">
        <v>140</v>
      </c>
      <c r="B143" s="141">
        <v>45965</v>
      </c>
      <c r="C143" s="48" t="s">
        <v>257</v>
      </c>
      <c r="D143" s="10">
        <v>400000</v>
      </c>
      <c r="E143" s="4" t="s">
        <v>18</v>
      </c>
      <c r="G143" s="48"/>
      <c r="H143" s="11"/>
      <c r="I143" s="48"/>
      <c r="J143" s="48"/>
      <c r="K143" s="48"/>
    </row>
    <row r="144" spans="1:11" s="31" customFormat="1" x14ac:dyDescent="0.3">
      <c r="A144" s="4">
        <v>141</v>
      </c>
      <c r="B144" s="141">
        <v>45965</v>
      </c>
      <c r="C144" s="48" t="s">
        <v>251</v>
      </c>
      <c r="D144" s="10">
        <v>1360000</v>
      </c>
      <c r="E144" s="4" t="s">
        <v>18</v>
      </c>
      <c r="G144" s="48"/>
      <c r="H144" s="11"/>
      <c r="I144" s="48"/>
      <c r="J144" s="48"/>
      <c r="K144" s="48"/>
    </row>
    <row r="145" spans="1:11" s="31" customFormat="1" x14ac:dyDescent="0.3">
      <c r="A145" s="4">
        <v>142</v>
      </c>
      <c r="B145" s="141">
        <v>45965</v>
      </c>
      <c r="C145" s="48" t="s">
        <v>258</v>
      </c>
      <c r="D145" s="10">
        <v>2150000</v>
      </c>
      <c r="E145" s="4" t="s">
        <v>18</v>
      </c>
      <c r="G145" s="48"/>
      <c r="H145" s="11"/>
      <c r="I145" s="48"/>
      <c r="J145" s="48"/>
      <c r="K145" s="48"/>
    </row>
    <row r="146" spans="1:11" s="31" customFormat="1" x14ac:dyDescent="0.3">
      <c r="A146" s="4">
        <v>143</v>
      </c>
      <c r="B146" s="141">
        <v>45965</v>
      </c>
      <c r="C146" s="48" t="s">
        <v>251</v>
      </c>
      <c r="D146" s="10">
        <v>490000</v>
      </c>
      <c r="E146" s="4" t="s">
        <v>18</v>
      </c>
      <c r="G146" s="48"/>
      <c r="H146" s="11"/>
      <c r="I146" s="48"/>
      <c r="J146" s="48"/>
      <c r="K146" s="48"/>
    </row>
    <row r="147" spans="1:11" s="31" customFormat="1" x14ac:dyDescent="0.3">
      <c r="A147" s="4">
        <v>144</v>
      </c>
      <c r="B147" s="141">
        <v>45966</v>
      </c>
      <c r="C147" s="48" t="s">
        <v>251</v>
      </c>
      <c r="D147" s="10">
        <v>180000</v>
      </c>
      <c r="E147" s="4" t="s">
        <v>18</v>
      </c>
      <c r="G147" s="48"/>
      <c r="H147" s="11"/>
      <c r="I147" s="48"/>
      <c r="J147" s="48"/>
      <c r="K147" s="48"/>
    </row>
    <row r="148" spans="1:11" s="31" customFormat="1" x14ac:dyDescent="0.3">
      <c r="A148" s="4">
        <v>145</v>
      </c>
      <c r="B148" s="141">
        <v>45966</v>
      </c>
      <c r="C148" s="48" t="s">
        <v>257</v>
      </c>
      <c r="D148" s="10">
        <v>800000</v>
      </c>
      <c r="E148" s="4" t="s">
        <v>18</v>
      </c>
      <c r="G148" s="48"/>
      <c r="H148" s="11"/>
      <c r="I148" s="48"/>
      <c r="J148" s="48"/>
      <c r="K148" s="48"/>
    </row>
    <row r="149" spans="1:11" s="31" customFormat="1" x14ac:dyDescent="0.3">
      <c r="A149" s="4">
        <v>146</v>
      </c>
      <c r="B149" s="141">
        <v>45967</v>
      </c>
      <c r="C149" s="48" t="s">
        <v>251</v>
      </c>
      <c r="D149" s="10">
        <v>315000</v>
      </c>
      <c r="E149" s="4" t="s">
        <v>18</v>
      </c>
      <c r="G149" s="48"/>
      <c r="H149" s="11"/>
      <c r="I149" s="48"/>
      <c r="J149" s="48"/>
      <c r="K149" s="48"/>
    </row>
    <row r="150" spans="1:11" s="31" customFormat="1" x14ac:dyDescent="0.3">
      <c r="A150" s="4">
        <v>147</v>
      </c>
      <c r="B150" s="141">
        <v>45968</v>
      </c>
      <c r="C150" s="48" t="s">
        <v>255</v>
      </c>
      <c r="D150" s="10">
        <v>219000</v>
      </c>
      <c r="E150" s="4" t="s">
        <v>18</v>
      </c>
      <c r="G150" s="48"/>
      <c r="H150" s="11"/>
      <c r="I150" s="48"/>
      <c r="J150" s="48"/>
      <c r="K150" s="48"/>
    </row>
    <row r="151" spans="1:11" s="31" customFormat="1" x14ac:dyDescent="0.3">
      <c r="A151" s="4">
        <v>148</v>
      </c>
      <c r="B151" s="141">
        <v>45969</v>
      </c>
      <c r="C151" s="48" t="s">
        <v>251</v>
      </c>
      <c r="D151" s="10">
        <v>998000</v>
      </c>
      <c r="E151" s="4" t="s">
        <v>18</v>
      </c>
      <c r="G151" s="48"/>
      <c r="H151" s="11"/>
      <c r="I151" s="48"/>
      <c r="J151" s="48"/>
      <c r="K151" s="48"/>
    </row>
    <row r="152" spans="1:11" s="31" customFormat="1" x14ac:dyDescent="0.3">
      <c r="A152" s="4">
        <v>149</v>
      </c>
      <c r="B152" s="141">
        <v>45969</v>
      </c>
      <c r="C152" s="48" t="s">
        <v>251</v>
      </c>
      <c r="D152" s="10">
        <v>445000</v>
      </c>
      <c r="E152" s="4" t="s">
        <v>18</v>
      </c>
      <c r="G152" s="48"/>
      <c r="H152" s="11"/>
      <c r="I152" s="48"/>
      <c r="J152" s="48"/>
      <c r="K152" s="48"/>
    </row>
    <row r="153" spans="1:11" s="31" customFormat="1" x14ac:dyDescent="0.3">
      <c r="A153" s="4">
        <v>150</v>
      </c>
      <c r="B153" s="141">
        <v>45970</v>
      </c>
      <c r="C153" s="48" t="s">
        <v>257</v>
      </c>
      <c r="D153" s="10">
        <v>400000</v>
      </c>
      <c r="E153" s="4" t="s">
        <v>18</v>
      </c>
      <c r="G153" s="48"/>
      <c r="H153" s="11"/>
      <c r="I153" s="48"/>
      <c r="J153" s="48"/>
      <c r="K153" s="48"/>
    </row>
    <row r="154" spans="1:11" s="31" customFormat="1" x14ac:dyDescent="0.3">
      <c r="A154" s="4">
        <v>151</v>
      </c>
      <c r="B154" s="141">
        <v>46703</v>
      </c>
      <c r="C154" s="48" t="s">
        <v>251</v>
      </c>
      <c r="D154" s="10">
        <v>166000</v>
      </c>
      <c r="E154" s="4" t="s">
        <v>18</v>
      </c>
      <c r="G154" s="48"/>
      <c r="H154" s="11"/>
      <c r="I154" s="48"/>
      <c r="J154" s="48"/>
      <c r="K154" s="48"/>
    </row>
    <row r="155" spans="1:11" s="31" customFormat="1" x14ac:dyDescent="0.3">
      <c r="A155" s="4">
        <v>152</v>
      </c>
      <c r="B155" s="141">
        <v>45978</v>
      </c>
      <c r="C155" s="48" t="s">
        <v>251</v>
      </c>
      <c r="D155" s="10">
        <v>463000</v>
      </c>
      <c r="E155" s="4" t="s">
        <v>18</v>
      </c>
      <c r="G155" s="48"/>
      <c r="H155" s="11"/>
      <c r="I155" s="48"/>
      <c r="J155" s="48"/>
      <c r="K155" s="48"/>
    </row>
    <row r="156" spans="1:11" s="31" customFormat="1" x14ac:dyDescent="0.3">
      <c r="A156" s="4">
        <v>153</v>
      </c>
      <c r="B156" s="141">
        <v>45978</v>
      </c>
      <c r="C156" s="48" t="s">
        <v>251</v>
      </c>
      <c r="D156" s="10">
        <v>144000</v>
      </c>
      <c r="E156" s="4" t="s">
        <v>18</v>
      </c>
      <c r="G156" s="48"/>
      <c r="H156" s="11"/>
      <c r="I156" s="48"/>
      <c r="J156" s="48"/>
      <c r="K156" s="48"/>
    </row>
    <row r="157" spans="1:11" s="31" customFormat="1" x14ac:dyDescent="0.3">
      <c r="A157" s="4">
        <v>154</v>
      </c>
      <c r="B157" s="141">
        <v>45978</v>
      </c>
      <c r="C157" s="48" t="s">
        <v>251</v>
      </c>
      <c r="D157" s="10">
        <v>230000</v>
      </c>
      <c r="E157" s="4" t="s">
        <v>18</v>
      </c>
      <c r="G157" s="48"/>
      <c r="H157" s="11"/>
      <c r="I157" s="48"/>
      <c r="J157" s="48"/>
      <c r="K157" s="48"/>
    </row>
    <row r="158" spans="1:11" s="31" customFormat="1" x14ac:dyDescent="0.3">
      <c r="A158" s="4">
        <v>155</v>
      </c>
      <c r="B158" s="141">
        <v>45979</v>
      </c>
      <c r="C158" s="48" t="s">
        <v>251</v>
      </c>
      <c r="D158" s="10">
        <v>170000</v>
      </c>
      <c r="E158" s="4" t="s">
        <v>18</v>
      </c>
      <c r="G158" s="48"/>
      <c r="H158" s="141"/>
      <c r="I158" s="48"/>
      <c r="J158" s="48"/>
      <c r="K158" s="48"/>
    </row>
    <row r="159" spans="1:11" s="31" customFormat="1" x14ac:dyDescent="0.3">
      <c r="A159" s="4">
        <v>156</v>
      </c>
      <c r="B159" s="141">
        <v>45979</v>
      </c>
      <c r="C159" s="48" t="s">
        <v>251</v>
      </c>
      <c r="D159" s="10">
        <v>59000</v>
      </c>
      <c r="E159" s="4" t="s">
        <v>18</v>
      </c>
      <c r="G159" s="48"/>
      <c r="H159" s="141"/>
      <c r="I159" s="48"/>
      <c r="J159" s="48"/>
      <c r="K159" s="48"/>
    </row>
    <row r="160" spans="1:11" s="31" customFormat="1" x14ac:dyDescent="0.3">
      <c r="A160" s="4">
        <v>157</v>
      </c>
      <c r="B160" s="141">
        <v>45980</v>
      </c>
      <c r="C160" s="48" t="s">
        <v>251</v>
      </c>
      <c r="D160" s="10">
        <v>880000</v>
      </c>
      <c r="E160" s="4" t="s">
        <v>18</v>
      </c>
      <c r="G160" s="48"/>
      <c r="H160" s="141"/>
      <c r="I160" s="48"/>
      <c r="J160" s="48"/>
      <c r="K160" s="48"/>
    </row>
    <row r="161" spans="1:11" s="31" customFormat="1" x14ac:dyDescent="0.3">
      <c r="A161" s="4">
        <v>158</v>
      </c>
      <c r="B161" s="141">
        <v>45980</v>
      </c>
      <c r="C161" s="48" t="s">
        <v>251</v>
      </c>
      <c r="D161" s="10">
        <v>64000</v>
      </c>
      <c r="E161" s="4" t="s">
        <v>18</v>
      </c>
      <c r="G161" s="48"/>
      <c r="H161" s="141"/>
      <c r="I161" s="48"/>
      <c r="J161" s="48"/>
      <c r="K161" s="48"/>
    </row>
    <row r="162" spans="1:11" s="31" customFormat="1" x14ac:dyDescent="0.3">
      <c r="A162" s="4">
        <v>159</v>
      </c>
      <c r="B162" s="141">
        <v>45982</v>
      </c>
      <c r="C162" s="48" t="s">
        <v>251</v>
      </c>
      <c r="D162" s="10">
        <v>692000</v>
      </c>
      <c r="E162" s="4" t="s">
        <v>18</v>
      </c>
      <c r="G162" s="48"/>
      <c r="H162" s="141"/>
      <c r="I162" s="48"/>
      <c r="J162" s="48"/>
      <c r="K162" s="48"/>
    </row>
    <row r="163" spans="1:11" s="31" customFormat="1" x14ac:dyDescent="0.3">
      <c r="A163" s="4">
        <v>160</v>
      </c>
      <c r="B163" s="141">
        <v>45983</v>
      </c>
      <c r="C163" s="48" t="s">
        <v>256</v>
      </c>
      <c r="D163" s="10">
        <v>500000</v>
      </c>
      <c r="E163" s="4" t="s">
        <v>18</v>
      </c>
      <c r="G163" s="48"/>
      <c r="H163" s="141"/>
      <c r="I163" s="48"/>
      <c r="J163" s="48"/>
      <c r="K163" s="48"/>
    </row>
    <row r="164" spans="1:11" s="31" customFormat="1" x14ac:dyDescent="0.3">
      <c r="A164" s="4">
        <v>161</v>
      </c>
      <c r="B164" s="141">
        <v>45984</v>
      </c>
      <c r="C164" s="48" t="s">
        <v>255</v>
      </c>
      <c r="D164" s="10">
        <v>240000</v>
      </c>
      <c r="E164" s="4" t="s">
        <v>18</v>
      </c>
      <c r="G164" s="48"/>
      <c r="H164" s="141"/>
      <c r="I164" s="48"/>
      <c r="J164" s="48"/>
      <c r="K164" s="48"/>
    </row>
    <row r="165" spans="1:11" s="31" customFormat="1" x14ac:dyDescent="0.3">
      <c r="A165" s="4">
        <v>162</v>
      </c>
      <c r="B165" s="141">
        <v>45985</v>
      </c>
      <c r="C165" s="48" t="s">
        <v>251</v>
      </c>
      <c r="D165" s="10">
        <v>952000</v>
      </c>
      <c r="E165" s="4" t="s">
        <v>18</v>
      </c>
      <c r="G165" s="48"/>
      <c r="H165" s="141"/>
      <c r="I165" s="48"/>
      <c r="J165" s="48"/>
      <c r="K165" s="48"/>
    </row>
    <row r="166" spans="1:11" s="31" customFormat="1" x14ac:dyDescent="0.3">
      <c r="A166" s="4">
        <v>163</v>
      </c>
      <c r="B166" s="141">
        <v>45989</v>
      </c>
      <c r="C166" s="48" t="s">
        <v>251</v>
      </c>
      <c r="D166" s="10">
        <v>540000</v>
      </c>
      <c r="E166" s="4" t="s">
        <v>18</v>
      </c>
      <c r="G166" s="48"/>
      <c r="H166" s="141"/>
      <c r="I166" s="48"/>
      <c r="J166" s="48"/>
      <c r="K166" s="48"/>
    </row>
    <row r="167" spans="1:11" s="31" customFormat="1" x14ac:dyDescent="0.3">
      <c r="A167" s="4">
        <v>164</v>
      </c>
      <c r="B167" s="141">
        <v>45989</v>
      </c>
      <c r="C167" s="48" t="s">
        <v>251</v>
      </c>
      <c r="D167" s="10">
        <v>78000</v>
      </c>
      <c r="E167" s="4" t="s">
        <v>18</v>
      </c>
      <c r="G167" s="48"/>
      <c r="H167" s="141"/>
      <c r="I167" s="48"/>
      <c r="J167" s="48"/>
      <c r="K167" s="48"/>
    </row>
    <row r="168" spans="1:11" s="31" customFormat="1" x14ac:dyDescent="0.3">
      <c r="A168" s="4">
        <v>165</v>
      </c>
      <c r="B168" s="141">
        <v>45991</v>
      </c>
      <c r="C168" s="48" t="s">
        <v>254</v>
      </c>
      <c r="D168" s="10">
        <v>310000</v>
      </c>
      <c r="E168" s="4" t="s">
        <v>18</v>
      </c>
      <c r="G168" s="48"/>
      <c r="H168" s="141"/>
      <c r="I168" s="48"/>
      <c r="J168" s="48"/>
      <c r="K168" s="48"/>
    </row>
    <row r="169" spans="1:11" s="31" customFormat="1" x14ac:dyDescent="0.3">
      <c r="A169" s="4">
        <v>166</v>
      </c>
      <c r="B169" s="141">
        <v>45993</v>
      </c>
      <c r="C169" s="48" t="s">
        <v>253</v>
      </c>
      <c r="D169" s="10">
        <v>1600000</v>
      </c>
      <c r="E169" s="4" t="s">
        <v>18</v>
      </c>
      <c r="G169" s="48"/>
      <c r="H169" s="141"/>
      <c r="I169" s="48"/>
      <c r="J169" s="48"/>
      <c r="K169" s="48"/>
    </row>
    <row r="170" spans="1:11" s="31" customFormat="1" x14ac:dyDescent="0.3">
      <c r="A170" s="4">
        <v>167</v>
      </c>
      <c r="B170" s="141">
        <v>45993</v>
      </c>
      <c r="C170" s="48" t="s">
        <v>252</v>
      </c>
      <c r="D170" s="10">
        <v>2400000</v>
      </c>
      <c r="E170" s="4" t="s">
        <v>18</v>
      </c>
      <c r="G170" s="48"/>
      <c r="H170" s="141"/>
      <c r="I170" s="48"/>
      <c r="J170" s="48"/>
      <c r="K170" s="48"/>
    </row>
    <row r="171" spans="1:11" s="31" customFormat="1" x14ac:dyDescent="0.3">
      <c r="A171" s="4">
        <v>168</v>
      </c>
      <c r="B171" s="141">
        <v>45994</v>
      </c>
      <c r="C171" s="48" t="s">
        <v>251</v>
      </c>
      <c r="D171" s="10">
        <v>115000</v>
      </c>
      <c r="E171" s="4" t="s">
        <v>18</v>
      </c>
      <c r="G171" s="48"/>
      <c r="H171" s="141"/>
      <c r="I171" s="48"/>
      <c r="J171" s="48"/>
      <c r="K171" s="48"/>
    </row>
    <row r="172" spans="1:11" s="31" customFormat="1" x14ac:dyDescent="0.3">
      <c r="A172" s="4">
        <v>169</v>
      </c>
      <c r="B172" s="141">
        <v>45994</v>
      </c>
      <c r="C172" s="48" t="s">
        <v>250</v>
      </c>
      <c r="D172" s="10">
        <v>700000</v>
      </c>
      <c r="E172" s="4" t="s">
        <v>18</v>
      </c>
      <c r="G172" s="48"/>
      <c r="H172" s="48"/>
      <c r="I172" s="48"/>
      <c r="J172" s="48"/>
      <c r="K172" s="48"/>
    </row>
    <row r="173" spans="1:11" s="31" customFormat="1" x14ac:dyDescent="0.3">
      <c r="A173" s="4">
        <v>170</v>
      </c>
      <c r="B173" s="141">
        <v>45998</v>
      </c>
      <c r="C173" s="48" t="s">
        <v>249</v>
      </c>
      <c r="D173" s="10">
        <v>120000</v>
      </c>
      <c r="E173" s="4" t="s">
        <v>18</v>
      </c>
      <c r="G173" s="48"/>
      <c r="H173" s="48"/>
      <c r="I173" s="48"/>
      <c r="J173" s="48"/>
      <c r="K173" s="48"/>
    </row>
    <row r="174" spans="1:11" s="31" customFormat="1" x14ac:dyDescent="0.3">
      <c r="A174" s="4">
        <v>171</v>
      </c>
      <c r="B174" s="141">
        <v>45998</v>
      </c>
      <c r="C174" s="48" t="s">
        <v>248</v>
      </c>
      <c r="D174" s="10">
        <v>350000</v>
      </c>
      <c r="E174" s="4" t="s">
        <v>18</v>
      </c>
      <c r="G174" s="48"/>
      <c r="H174" s="48"/>
      <c r="I174" s="48"/>
      <c r="J174" s="48"/>
      <c r="K174" s="48"/>
    </row>
    <row r="175" spans="1:11" s="31" customFormat="1" x14ac:dyDescent="0.3">
      <c r="A175" s="4">
        <v>172</v>
      </c>
      <c r="B175" s="141">
        <v>45998</v>
      </c>
      <c r="C175" s="48" t="s">
        <v>247</v>
      </c>
      <c r="D175" s="10">
        <v>300000</v>
      </c>
      <c r="E175" s="4" t="s">
        <v>18</v>
      </c>
      <c r="G175" s="48"/>
      <c r="H175" s="48"/>
      <c r="I175" s="48"/>
      <c r="J175" s="48"/>
      <c r="K175" s="48"/>
    </row>
    <row r="176" spans="1:11" s="31" customFormat="1" x14ac:dyDescent="0.3">
      <c r="A176" s="4">
        <v>173</v>
      </c>
      <c r="B176" s="141">
        <v>45999</v>
      </c>
      <c r="C176" s="48" t="s">
        <v>246</v>
      </c>
      <c r="D176" s="10">
        <v>1274000</v>
      </c>
      <c r="E176" s="4" t="s">
        <v>18</v>
      </c>
      <c r="G176" s="48"/>
      <c r="H176" s="48"/>
      <c r="I176" s="48"/>
      <c r="J176" s="48"/>
      <c r="K176" s="48"/>
    </row>
    <row r="177" spans="1:11" s="31" customFormat="1" x14ac:dyDescent="0.3">
      <c r="A177" s="4">
        <v>174</v>
      </c>
      <c r="B177" s="141">
        <v>46001</v>
      </c>
      <c r="C177" s="48" t="s">
        <v>245</v>
      </c>
      <c r="D177" s="10">
        <v>400000</v>
      </c>
      <c r="E177" s="4" t="s">
        <v>18</v>
      </c>
      <c r="G177" s="48"/>
      <c r="H177" s="48"/>
      <c r="I177" s="48"/>
      <c r="J177" s="48"/>
      <c r="K177" s="48"/>
    </row>
    <row r="178" spans="1:11" s="31" customFormat="1" x14ac:dyDescent="0.3">
      <c r="A178" s="4">
        <v>175</v>
      </c>
      <c r="B178" s="141">
        <v>46001</v>
      </c>
      <c r="C178" s="48" t="s">
        <v>244</v>
      </c>
      <c r="D178" s="10">
        <v>80000</v>
      </c>
      <c r="E178" s="4" t="s">
        <v>18</v>
      </c>
      <c r="G178" s="48"/>
      <c r="H178" s="48"/>
      <c r="I178" s="48"/>
      <c r="J178" s="48"/>
      <c r="K178" s="48"/>
    </row>
    <row r="179" spans="1:11" s="31" customFormat="1" x14ac:dyDescent="0.3">
      <c r="A179" s="4">
        <v>176</v>
      </c>
      <c r="B179" s="166">
        <v>46002</v>
      </c>
      <c r="C179" s="167" t="s">
        <v>274</v>
      </c>
      <c r="D179" s="10">
        <v>3600000</v>
      </c>
      <c r="E179" s="4" t="s">
        <v>275</v>
      </c>
      <c r="G179" s="49"/>
      <c r="H179" s="168"/>
      <c r="I179" s="167"/>
      <c r="J179" s="48"/>
      <c r="K179" s="48"/>
    </row>
    <row r="180" spans="1:11" s="31" customFormat="1" x14ac:dyDescent="0.3">
      <c r="A180" s="42"/>
      <c r="B180" s="166">
        <v>46003</v>
      </c>
      <c r="C180" s="48" t="s">
        <v>251</v>
      </c>
      <c r="D180" s="10">
        <v>1050000</v>
      </c>
      <c r="E180" s="4" t="s">
        <v>299</v>
      </c>
      <c r="G180" s="49"/>
      <c r="H180" s="168"/>
      <c r="I180" s="167"/>
      <c r="J180" s="48"/>
      <c r="K180" s="48"/>
    </row>
    <row r="181" spans="1:11" s="31" customFormat="1" x14ac:dyDescent="0.3">
      <c r="A181" s="42"/>
      <c r="B181" s="166">
        <v>46006</v>
      </c>
      <c r="C181" s="48" t="s">
        <v>251</v>
      </c>
      <c r="D181" s="10">
        <v>370000</v>
      </c>
      <c r="E181" s="4" t="s">
        <v>299</v>
      </c>
      <c r="G181" s="49"/>
      <c r="H181" s="168"/>
      <c r="I181" s="167"/>
      <c r="J181" s="48"/>
      <c r="K181" s="48"/>
    </row>
    <row r="182" spans="1:11" s="31" customFormat="1" x14ac:dyDescent="0.3">
      <c r="A182" s="42"/>
      <c r="B182" s="166">
        <v>46007</v>
      </c>
      <c r="C182" s="48" t="s">
        <v>251</v>
      </c>
      <c r="D182" s="10">
        <v>100000</v>
      </c>
      <c r="E182" s="4" t="s">
        <v>299</v>
      </c>
      <c r="G182" s="49"/>
      <c r="H182" s="168"/>
      <c r="I182" s="167"/>
      <c r="J182" s="48"/>
      <c r="K182" s="48"/>
    </row>
    <row r="183" spans="1:11" s="31" customFormat="1" x14ac:dyDescent="0.3">
      <c r="A183" s="42"/>
      <c r="B183" s="166">
        <v>46008</v>
      </c>
      <c r="C183" s="48" t="s">
        <v>251</v>
      </c>
      <c r="D183" s="10">
        <v>260000</v>
      </c>
      <c r="E183" s="4" t="s">
        <v>299</v>
      </c>
      <c r="G183" s="49"/>
      <c r="H183" s="168"/>
      <c r="I183" s="167"/>
      <c r="J183" s="48"/>
      <c r="K183" s="48"/>
    </row>
    <row r="184" spans="1:11" s="31" customFormat="1" x14ac:dyDescent="0.3">
      <c r="A184" s="42"/>
      <c r="B184" s="166">
        <v>46010</v>
      </c>
      <c r="C184" s="48" t="s">
        <v>251</v>
      </c>
      <c r="D184" s="10">
        <v>309000</v>
      </c>
      <c r="E184" s="4" t="s">
        <v>299</v>
      </c>
      <c r="G184" s="49"/>
      <c r="H184" s="168"/>
      <c r="I184" s="167"/>
      <c r="J184" s="48"/>
      <c r="K184" s="48"/>
    </row>
    <row r="185" spans="1:11" s="31" customFormat="1" x14ac:dyDescent="0.3">
      <c r="A185" s="42"/>
      <c r="B185" s="166">
        <v>46011</v>
      </c>
      <c r="C185" s="48" t="s">
        <v>251</v>
      </c>
      <c r="D185" s="10">
        <v>158000</v>
      </c>
      <c r="E185" s="4" t="s">
        <v>299</v>
      </c>
      <c r="G185" s="49"/>
      <c r="H185" s="168"/>
      <c r="I185" s="167"/>
      <c r="J185" s="48"/>
      <c r="K185" s="48"/>
    </row>
    <row r="186" spans="1:11" s="31" customFormat="1" x14ac:dyDescent="0.3">
      <c r="A186" s="42"/>
      <c r="B186" s="166">
        <v>46012</v>
      </c>
      <c r="C186" s="48" t="s">
        <v>251</v>
      </c>
      <c r="D186" s="10">
        <v>467000</v>
      </c>
      <c r="E186" s="4" t="s">
        <v>299</v>
      </c>
      <c r="G186" s="49"/>
      <c r="H186" s="168"/>
      <c r="I186" s="167"/>
      <c r="J186" s="48"/>
      <c r="K186" s="48"/>
    </row>
    <row r="187" spans="1:11" s="31" customFormat="1" x14ac:dyDescent="0.3">
      <c r="A187" s="42"/>
      <c r="B187" s="166">
        <v>46013</v>
      </c>
      <c r="C187" s="48" t="s">
        <v>251</v>
      </c>
      <c r="D187" s="10">
        <v>38000</v>
      </c>
      <c r="E187" s="4" t="s">
        <v>299</v>
      </c>
      <c r="G187" s="49"/>
      <c r="H187" s="168"/>
      <c r="I187" s="167"/>
      <c r="J187" s="48"/>
      <c r="K187" s="48"/>
    </row>
    <row r="188" spans="1:11" s="31" customFormat="1" x14ac:dyDescent="0.3">
      <c r="A188" s="42"/>
      <c r="B188" s="166">
        <v>46013</v>
      </c>
      <c r="C188" s="48" t="s">
        <v>251</v>
      </c>
      <c r="D188" s="10">
        <v>245000</v>
      </c>
      <c r="E188" s="4" t="s">
        <v>299</v>
      </c>
      <c r="G188" s="49"/>
      <c r="H188" s="168"/>
      <c r="I188" s="167"/>
      <c r="J188" s="48"/>
      <c r="K188" s="48"/>
    </row>
    <row r="189" spans="1:11" s="31" customFormat="1" x14ac:dyDescent="0.3">
      <c r="A189" s="42"/>
      <c r="B189" s="166">
        <v>46014</v>
      </c>
      <c r="C189" s="48" t="s">
        <v>251</v>
      </c>
      <c r="D189" s="10">
        <v>395000</v>
      </c>
      <c r="E189" s="4" t="s">
        <v>299</v>
      </c>
      <c r="G189" s="49"/>
      <c r="H189" s="168"/>
      <c r="I189" s="167"/>
      <c r="J189" s="48"/>
      <c r="K189" s="48"/>
    </row>
    <row r="190" spans="1:11" s="31" customFormat="1" x14ac:dyDescent="0.3">
      <c r="A190" s="42"/>
      <c r="B190" s="166">
        <v>46014</v>
      </c>
      <c r="C190" s="48" t="s">
        <v>315</v>
      </c>
      <c r="D190" s="10">
        <v>450000</v>
      </c>
      <c r="E190" s="4" t="s">
        <v>299</v>
      </c>
      <c r="G190" s="49"/>
      <c r="H190" s="168"/>
      <c r="I190" s="167"/>
      <c r="J190" s="48"/>
      <c r="K190" s="48"/>
    </row>
    <row r="191" spans="1:11" s="31" customFormat="1" x14ac:dyDescent="0.3">
      <c r="A191" s="42"/>
      <c r="B191" s="166">
        <v>46015</v>
      </c>
      <c r="C191" s="48" t="s">
        <v>251</v>
      </c>
      <c r="D191" s="10">
        <v>78000</v>
      </c>
      <c r="E191" s="4" t="s">
        <v>299</v>
      </c>
      <c r="G191" s="49"/>
      <c r="H191" s="168"/>
      <c r="I191" s="167"/>
      <c r="J191" s="48"/>
      <c r="K191" s="48"/>
    </row>
    <row r="192" spans="1:11" s="31" customFormat="1" x14ac:dyDescent="0.3">
      <c r="A192" s="42"/>
      <c r="B192" s="166">
        <v>46016</v>
      </c>
      <c r="C192" s="48" t="s">
        <v>251</v>
      </c>
      <c r="D192" s="10">
        <v>258000</v>
      </c>
      <c r="E192" s="4" t="s">
        <v>299</v>
      </c>
      <c r="G192" s="49"/>
      <c r="H192" s="168"/>
      <c r="I192" s="167"/>
      <c r="J192" s="48"/>
      <c r="K192" s="48"/>
    </row>
    <row r="193" spans="1:11" s="31" customFormat="1" x14ac:dyDescent="0.3">
      <c r="A193" s="42"/>
      <c r="B193" s="166">
        <v>46018</v>
      </c>
      <c r="C193" s="48" t="s">
        <v>251</v>
      </c>
      <c r="D193" s="10">
        <v>170000</v>
      </c>
      <c r="E193" s="4" t="s">
        <v>299</v>
      </c>
      <c r="G193" s="49"/>
      <c r="H193" s="168"/>
      <c r="I193" s="167"/>
      <c r="J193" s="48"/>
      <c r="K193" s="48"/>
    </row>
    <row r="194" spans="1:11" s="31" customFormat="1" x14ac:dyDescent="0.3">
      <c r="A194" s="42"/>
      <c r="B194" s="166">
        <v>46020</v>
      </c>
      <c r="C194" s="167" t="s">
        <v>301</v>
      </c>
      <c r="D194" s="10">
        <v>500000</v>
      </c>
      <c r="E194" s="4" t="s">
        <v>299</v>
      </c>
      <c r="G194" s="49"/>
      <c r="H194" s="168"/>
      <c r="I194" s="167"/>
      <c r="J194" s="48"/>
      <c r="K194" s="48"/>
    </row>
    <row r="195" spans="1:11" s="31" customFormat="1" x14ac:dyDescent="0.3">
      <c r="A195" s="42"/>
      <c r="B195" s="166">
        <v>46021</v>
      </c>
      <c r="C195" s="48" t="s">
        <v>251</v>
      </c>
      <c r="D195" s="10">
        <v>118000</v>
      </c>
      <c r="E195" s="4" t="s">
        <v>299</v>
      </c>
      <c r="G195" s="49"/>
      <c r="H195" s="168"/>
      <c r="I195" s="167"/>
      <c r="J195" s="48"/>
      <c r="K195" s="48"/>
    </row>
    <row r="196" spans="1:11" s="31" customFormat="1" x14ac:dyDescent="0.3">
      <c r="A196" s="42"/>
      <c r="B196" s="166">
        <v>46021</v>
      </c>
      <c r="C196" s="48" t="s">
        <v>251</v>
      </c>
      <c r="D196" s="10">
        <v>1660000</v>
      </c>
      <c r="E196" s="4" t="s">
        <v>299</v>
      </c>
      <c r="G196" s="49"/>
      <c r="H196" s="168"/>
      <c r="I196" s="167"/>
      <c r="J196" s="48"/>
      <c r="K196" s="48"/>
    </row>
    <row r="197" spans="1:11" s="31" customFormat="1" x14ac:dyDescent="0.3">
      <c r="A197" s="42"/>
      <c r="B197" s="166">
        <v>46023</v>
      </c>
      <c r="C197" s="115" t="s">
        <v>314</v>
      </c>
      <c r="D197" s="10">
        <v>2932000</v>
      </c>
      <c r="E197" s="4" t="s">
        <v>299</v>
      </c>
      <c r="G197" s="49"/>
      <c r="H197" s="168"/>
      <c r="I197" s="167"/>
      <c r="J197" s="48"/>
      <c r="K197" s="48"/>
    </row>
    <row r="198" spans="1:11" s="31" customFormat="1" x14ac:dyDescent="0.3">
      <c r="A198" s="42"/>
      <c r="B198" s="166">
        <v>46024</v>
      </c>
      <c r="C198" s="48" t="s">
        <v>251</v>
      </c>
      <c r="D198" s="10">
        <v>190000</v>
      </c>
      <c r="E198" s="4" t="s">
        <v>299</v>
      </c>
      <c r="G198" s="49"/>
      <c r="H198" s="168"/>
      <c r="I198" s="167"/>
      <c r="J198" s="48"/>
      <c r="K198" s="48"/>
    </row>
    <row r="199" spans="1:11" s="31" customFormat="1" x14ac:dyDescent="0.3">
      <c r="A199" s="42"/>
      <c r="B199" s="166">
        <v>46024</v>
      </c>
      <c r="C199" s="48" t="s">
        <v>251</v>
      </c>
      <c r="D199" s="10">
        <v>319000</v>
      </c>
      <c r="E199" s="4" t="s">
        <v>299</v>
      </c>
      <c r="G199" s="49"/>
      <c r="H199" s="168"/>
      <c r="I199" s="167"/>
      <c r="J199" s="48"/>
      <c r="K199" s="48"/>
    </row>
    <row r="200" spans="1:11" s="31" customFormat="1" x14ac:dyDescent="0.3">
      <c r="A200" s="42"/>
      <c r="B200" s="166">
        <v>46024</v>
      </c>
      <c r="C200" s="48" t="s">
        <v>251</v>
      </c>
      <c r="D200" s="10">
        <v>100000</v>
      </c>
      <c r="E200" s="4" t="s">
        <v>299</v>
      </c>
      <c r="G200" s="49"/>
      <c r="H200" s="168"/>
      <c r="I200" s="167"/>
      <c r="J200" s="48"/>
      <c r="K200" s="48"/>
    </row>
    <row r="201" spans="1:11" s="31" customFormat="1" x14ac:dyDescent="0.3">
      <c r="A201" s="42"/>
      <c r="B201" s="166">
        <v>46024</v>
      </c>
      <c r="C201" s="48" t="s">
        <v>251</v>
      </c>
      <c r="D201" s="10">
        <v>540000</v>
      </c>
      <c r="E201" s="4" t="s">
        <v>299</v>
      </c>
      <c r="G201" s="49"/>
      <c r="H201" s="168"/>
      <c r="I201" s="167"/>
      <c r="J201" s="48"/>
      <c r="K201" s="48"/>
    </row>
    <row r="202" spans="1:11" s="31" customFormat="1" x14ac:dyDescent="0.3">
      <c r="A202" s="42"/>
      <c r="B202" s="166">
        <v>46025</v>
      </c>
      <c r="C202" s="48" t="s">
        <v>251</v>
      </c>
      <c r="D202" s="10">
        <v>140000</v>
      </c>
      <c r="E202" s="4" t="s">
        <v>299</v>
      </c>
      <c r="G202" s="49"/>
      <c r="H202" s="168"/>
      <c r="I202" s="167"/>
      <c r="J202" s="48"/>
      <c r="K202" s="48"/>
    </row>
    <row r="203" spans="1:11" s="31" customFormat="1" x14ac:dyDescent="0.3">
      <c r="A203" s="42"/>
      <c r="B203" s="166">
        <v>46026</v>
      </c>
      <c r="C203" s="48" t="s">
        <v>313</v>
      </c>
      <c r="D203" s="10">
        <v>700000</v>
      </c>
      <c r="E203" s="4" t="s">
        <v>299</v>
      </c>
      <c r="G203" s="49"/>
      <c r="H203" s="168"/>
      <c r="I203" s="167"/>
      <c r="J203" s="48"/>
      <c r="K203" s="48"/>
    </row>
    <row r="204" spans="1:11" s="31" customFormat="1" x14ac:dyDescent="0.3">
      <c r="A204" s="42"/>
      <c r="B204" s="166">
        <v>46026</v>
      </c>
      <c r="C204" s="48" t="s">
        <v>251</v>
      </c>
      <c r="D204" s="10">
        <v>250000</v>
      </c>
      <c r="E204" s="4" t="s">
        <v>299</v>
      </c>
      <c r="G204" s="49"/>
      <c r="H204" s="168"/>
      <c r="I204" s="167"/>
      <c r="J204" s="48"/>
      <c r="K204" s="48"/>
    </row>
    <row r="205" spans="1:11" s="31" customFormat="1" x14ac:dyDescent="0.3">
      <c r="A205" s="42"/>
      <c r="B205" s="166">
        <v>46026</v>
      </c>
      <c r="C205" s="48" t="s">
        <v>312</v>
      </c>
      <c r="D205" s="10">
        <v>5870000</v>
      </c>
      <c r="E205" s="4" t="s">
        <v>299</v>
      </c>
      <c r="G205" s="49"/>
      <c r="H205" s="168"/>
      <c r="I205" s="167"/>
      <c r="J205" s="48"/>
      <c r="K205" s="48"/>
    </row>
    <row r="206" spans="1:11" s="31" customFormat="1" x14ac:dyDescent="0.3">
      <c r="A206" s="42"/>
      <c r="B206" s="166">
        <v>46030</v>
      </c>
      <c r="C206" s="48" t="s">
        <v>251</v>
      </c>
      <c r="D206" s="10">
        <v>220000</v>
      </c>
      <c r="E206" s="4" t="s">
        <v>299</v>
      </c>
      <c r="G206" s="49"/>
      <c r="H206" s="168"/>
      <c r="I206" s="167"/>
      <c r="J206" s="48"/>
      <c r="K206" s="48"/>
    </row>
    <row r="207" spans="1:11" s="31" customFormat="1" x14ac:dyDescent="0.3">
      <c r="A207" s="42"/>
      <c r="B207" s="166">
        <v>46031</v>
      </c>
      <c r="C207" s="48" t="s">
        <v>311</v>
      </c>
      <c r="D207" s="10">
        <v>290000</v>
      </c>
      <c r="E207" s="4" t="s">
        <v>299</v>
      </c>
      <c r="G207" s="49"/>
      <c r="H207" s="168"/>
      <c r="I207" s="167"/>
      <c r="J207" s="48"/>
      <c r="K207" s="48"/>
    </row>
    <row r="208" spans="1:11" s="31" customFormat="1" x14ac:dyDescent="0.3">
      <c r="A208" s="42"/>
      <c r="B208" s="166">
        <v>46031</v>
      </c>
      <c r="C208" s="48" t="s">
        <v>251</v>
      </c>
      <c r="D208" s="10">
        <v>210000</v>
      </c>
      <c r="E208" s="4" t="s">
        <v>299</v>
      </c>
      <c r="G208" s="49"/>
      <c r="H208" s="168"/>
      <c r="I208" s="167"/>
      <c r="J208" s="48"/>
      <c r="K208" s="48"/>
    </row>
    <row r="209" spans="1:11" s="31" customFormat="1" x14ac:dyDescent="0.3">
      <c r="A209" s="42"/>
      <c r="B209" s="166">
        <v>46031</v>
      </c>
      <c r="C209" s="48" t="s">
        <v>310</v>
      </c>
      <c r="D209" s="10">
        <v>888000</v>
      </c>
      <c r="E209" s="4" t="s">
        <v>299</v>
      </c>
      <c r="G209" s="49"/>
      <c r="H209" s="168"/>
      <c r="I209" s="167"/>
      <c r="J209" s="48"/>
      <c r="K209" s="48"/>
    </row>
    <row r="210" spans="1:11" s="31" customFormat="1" x14ac:dyDescent="0.3">
      <c r="A210" s="42"/>
      <c r="B210" s="166">
        <v>46031</v>
      </c>
      <c r="C210" s="48" t="s">
        <v>251</v>
      </c>
      <c r="D210" s="10">
        <v>42000</v>
      </c>
      <c r="E210" s="4" t="s">
        <v>299</v>
      </c>
      <c r="G210" s="49"/>
      <c r="H210" s="168"/>
      <c r="I210" s="167"/>
      <c r="J210" s="48"/>
      <c r="K210" s="48"/>
    </row>
    <row r="211" spans="1:11" s="31" customFormat="1" x14ac:dyDescent="0.3">
      <c r="A211" s="42"/>
      <c r="B211" s="166">
        <v>46031</v>
      </c>
      <c r="C211" s="48" t="s">
        <v>251</v>
      </c>
      <c r="D211" s="10">
        <v>420000</v>
      </c>
      <c r="E211" s="4" t="s">
        <v>299</v>
      </c>
      <c r="G211" s="49"/>
      <c r="H211" s="168"/>
      <c r="I211" s="167"/>
      <c r="J211" s="48"/>
      <c r="K211" s="48"/>
    </row>
    <row r="212" spans="1:11" s="31" customFormat="1" x14ac:dyDescent="0.3">
      <c r="A212" s="42"/>
      <c r="B212" s="166">
        <v>46031</v>
      </c>
      <c r="C212" s="48" t="s">
        <v>251</v>
      </c>
      <c r="D212" s="10">
        <v>136000</v>
      </c>
      <c r="E212" s="4" t="s">
        <v>299</v>
      </c>
      <c r="G212" s="49"/>
      <c r="H212" s="168"/>
      <c r="I212" s="167"/>
      <c r="J212" s="48"/>
      <c r="K212" s="48"/>
    </row>
    <row r="213" spans="1:11" s="31" customFormat="1" x14ac:dyDescent="0.3">
      <c r="A213" s="42"/>
      <c r="B213" s="166">
        <v>46031</v>
      </c>
      <c r="C213" s="48" t="s">
        <v>251</v>
      </c>
      <c r="D213" s="10">
        <v>70000</v>
      </c>
      <c r="E213" s="4" t="s">
        <v>299</v>
      </c>
      <c r="G213" s="49"/>
      <c r="H213" s="168"/>
      <c r="I213" s="167"/>
      <c r="J213" s="48"/>
      <c r="K213" s="48"/>
    </row>
    <row r="214" spans="1:11" s="31" customFormat="1" x14ac:dyDescent="0.3">
      <c r="A214" s="42"/>
      <c r="B214" s="166">
        <v>46032</v>
      </c>
      <c r="C214" s="48" t="s">
        <v>53</v>
      </c>
      <c r="D214" s="10">
        <v>1980000</v>
      </c>
      <c r="E214" s="4" t="s">
        <v>299</v>
      </c>
      <c r="G214" s="49"/>
      <c r="H214" s="168"/>
      <c r="I214" s="167"/>
      <c r="J214" s="48"/>
      <c r="K214" s="48"/>
    </row>
    <row r="215" spans="1:11" s="31" customFormat="1" x14ac:dyDescent="0.3">
      <c r="A215" s="42"/>
      <c r="B215" s="166">
        <v>46032</v>
      </c>
      <c r="C215" s="48" t="s">
        <v>309</v>
      </c>
      <c r="D215" s="10">
        <v>2500000</v>
      </c>
      <c r="E215" s="4" t="s">
        <v>299</v>
      </c>
      <c r="G215" s="49"/>
      <c r="H215" s="168"/>
      <c r="I215" s="167"/>
      <c r="J215" s="48"/>
      <c r="K215" s="48"/>
    </row>
    <row r="216" spans="1:11" s="31" customFormat="1" x14ac:dyDescent="0.3">
      <c r="A216" s="42"/>
      <c r="B216" s="166">
        <v>46033</v>
      </c>
      <c r="C216" s="48" t="s">
        <v>251</v>
      </c>
      <c r="D216" s="10">
        <v>2050000</v>
      </c>
      <c r="E216" s="4" t="s">
        <v>299</v>
      </c>
      <c r="G216" s="49"/>
      <c r="H216" s="168"/>
      <c r="I216" s="167"/>
      <c r="J216" s="48"/>
      <c r="K216" s="48"/>
    </row>
    <row r="217" spans="1:11" s="31" customFormat="1" x14ac:dyDescent="0.3">
      <c r="A217" s="42"/>
      <c r="B217" s="166">
        <v>46034</v>
      </c>
      <c r="C217" s="167" t="s">
        <v>308</v>
      </c>
      <c r="D217" s="10">
        <v>327520</v>
      </c>
      <c r="E217" s="4" t="s">
        <v>299</v>
      </c>
      <c r="G217" s="49"/>
      <c r="H217" s="168"/>
      <c r="I217" s="167"/>
      <c r="J217" s="48"/>
      <c r="K217" s="48"/>
    </row>
    <row r="218" spans="1:11" s="31" customFormat="1" x14ac:dyDescent="0.3">
      <c r="A218" s="42"/>
      <c r="B218" s="166">
        <v>46036</v>
      </c>
      <c r="C218" s="48" t="s">
        <v>251</v>
      </c>
      <c r="D218" s="10">
        <v>110000</v>
      </c>
      <c r="E218" s="4" t="s">
        <v>299</v>
      </c>
      <c r="G218" s="49"/>
      <c r="H218" s="168"/>
      <c r="I218" s="167"/>
      <c r="J218" s="48"/>
      <c r="K218" s="48"/>
    </row>
    <row r="219" spans="1:11" s="31" customFormat="1" x14ac:dyDescent="0.3">
      <c r="A219" s="42"/>
      <c r="B219" s="166">
        <v>46036</v>
      </c>
      <c r="C219" s="48" t="s">
        <v>251</v>
      </c>
      <c r="D219" s="10">
        <v>500000</v>
      </c>
      <c r="E219" s="4" t="s">
        <v>299</v>
      </c>
      <c r="G219" s="49"/>
      <c r="H219" s="168"/>
      <c r="I219" s="167"/>
      <c r="J219" s="48"/>
      <c r="K219" s="48"/>
    </row>
    <row r="220" spans="1:11" s="31" customFormat="1" x14ac:dyDescent="0.3">
      <c r="A220" s="42"/>
      <c r="B220" s="166">
        <v>46036</v>
      </c>
      <c r="C220" s="48" t="s">
        <v>251</v>
      </c>
      <c r="D220" s="10">
        <v>1229000</v>
      </c>
      <c r="E220" s="4" t="s">
        <v>299</v>
      </c>
      <c r="G220" s="49"/>
      <c r="H220" s="168"/>
      <c r="I220" s="167"/>
      <c r="J220" s="48"/>
      <c r="K220" s="48"/>
    </row>
    <row r="221" spans="1:11" s="31" customFormat="1" x14ac:dyDescent="0.3">
      <c r="A221" s="42"/>
      <c r="B221" s="166">
        <v>46036</v>
      </c>
      <c r="C221" s="48" t="s">
        <v>251</v>
      </c>
      <c r="D221" s="10">
        <v>125000</v>
      </c>
      <c r="E221" s="4" t="s">
        <v>299</v>
      </c>
      <c r="G221" s="49"/>
      <c r="H221" s="168"/>
      <c r="I221" s="167"/>
      <c r="J221" s="48"/>
      <c r="K221" s="48"/>
    </row>
    <row r="222" spans="1:11" s="31" customFormat="1" x14ac:dyDescent="0.3">
      <c r="A222" s="42"/>
      <c r="B222" s="166">
        <v>46041</v>
      </c>
      <c r="C222" s="48" t="s">
        <v>251</v>
      </c>
      <c r="D222" s="10">
        <v>264000</v>
      </c>
      <c r="E222" s="4" t="s">
        <v>299</v>
      </c>
      <c r="G222" s="49"/>
      <c r="H222" s="168"/>
      <c r="I222" s="167"/>
      <c r="J222" s="48"/>
      <c r="K222" s="48"/>
    </row>
    <row r="223" spans="1:11" s="31" customFormat="1" x14ac:dyDescent="0.3">
      <c r="A223" s="42"/>
      <c r="B223" s="166">
        <v>46040</v>
      </c>
      <c r="C223" s="48" t="s">
        <v>251</v>
      </c>
      <c r="D223" s="10">
        <v>2050000</v>
      </c>
      <c r="E223" s="4" t="s">
        <v>299</v>
      </c>
      <c r="G223" s="49"/>
      <c r="H223" s="168"/>
      <c r="I223" s="167"/>
      <c r="J223" s="48"/>
      <c r="K223" s="48"/>
    </row>
    <row r="224" spans="1:11" s="31" customFormat="1" x14ac:dyDescent="0.3">
      <c r="A224" s="42"/>
      <c r="B224" s="166">
        <v>46041</v>
      </c>
      <c r="C224" s="167" t="s">
        <v>307</v>
      </c>
      <c r="D224" s="10">
        <v>2450000</v>
      </c>
      <c r="E224" s="4" t="s">
        <v>299</v>
      </c>
      <c r="G224" s="49"/>
      <c r="H224" s="168"/>
      <c r="I224" s="167"/>
      <c r="J224" s="48"/>
      <c r="K224" s="48"/>
    </row>
    <row r="225" spans="1:11" s="31" customFormat="1" x14ac:dyDescent="0.3">
      <c r="A225" s="42"/>
      <c r="B225" s="166">
        <v>45676</v>
      </c>
      <c r="C225" s="167" t="s">
        <v>316</v>
      </c>
      <c r="D225" s="10">
        <v>2700000</v>
      </c>
      <c r="E225" s="4" t="s">
        <v>275</v>
      </c>
      <c r="G225" s="49"/>
      <c r="H225" s="168"/>
      <c r="I225" s="167"/>
      <c r="J225" s="48"/>
      <c r="K225" s="48"/>
    </row>
    <row r="226" spans="1:11" s="31" customFormat="1" x14ac:dyDescent="0.3">
      <c r="A226" s="42"/>
      <c r="B226" s="166">
        <v>46042</v>
      </c>
      <c r="C226" s="48" t="s">
        <v>251</v>
      </c>
      <c r="D226" s="10">
        <v>65000</v>
      </c>
      <c r="E226" s="4" t="s">
        <v>299</v>
      </c>
      <c r="G226" s="49"/>
      <c r="H226" s="168"/>
      <c r="I226" s="167"/>
      <c r="J226" s="48"/>
      <c r="K226" s="48"/>
    </row>
    <row r="227" spans="1:11" s="31" customFormat="1" x14ac:dyDescent="0.3">
      <c r="A227" s="42"/>
      <c r="B227" s="166">
        <v>46042</v>
      </c>
      <c r="C227" s="48" t="s">
        <v>306</v>
      </c>
      <c r="D227" s="10">
        <v>450000</v>
      </c>
      <c r="E227" s="4" t="s">
        <v>299</v>
      </c>
      <c r="G227" s="49"/>
      <c r="H227" s="168"/>
      <c r="I227" s="167"/>
      <c r="J227" s="48"/>
      <c r="K227" s="48"/>
    </row>
    <row r="228" spans="1:11" s="31" customFormat="1" x14ac:dyDescent="0.3">
      <c r="A228" s="42"/>
      <c r="B228" s="166">
        <v>46042</v>
      </c>
      <c r="C228" s="48" t="s">
        <v>251</v>
      </c>
      <c r="D228" s="10">
        <v>50000</v>
      </c>
      <c r="E228" s="4" t="s">
        <v>299</v>
      </c>
      <c r="G228" s="49"/>
      <c r="H228" s="168"/>
      <c r="I228" s="167"/>
      <c r="J228" s="48"/>
      <c r="K228" s="48"/>
    </row>
    <row r="229" spans="1:11" s="31" customFormat="1" x14ac:dyDescent="0.3">
      <c r="A229" s="42"/>
      <c r="B229" s="166">
        <v>46043</v>
      </c>
      <c r="C229" s="48" t="s">
        <v>251</v>
      </c>
      <c r="D229" s="10">
        <v>348000</v>
      </c>
      <c r="E229" s="4" t="s">
        <v>299</v>
      </c>
      <c r="G229" s="49"/>
      <c r="H229" s="168"/>
      <c r="I229" s="167"/>
      <c r="J229" s="48"/>
      <c r="K229" s="48"/>
    </row>
    <row r="230" spans="1:11" s="31" customFormat="1" x14ac:dyDescent="0.3">
      <c r="A230" s="42"/>
      <c r="B230" s="166">
        <v>46043</v>
      </c>
      <c r="C230" s="48" t="s">
        <v>251</v>
      </c>
      <c r="D230" s="10">
        <v>110000</v>
      </c>
      <c r="E230" s="4" t="s">
        <v>299</v>
      </c>
      <c r="G230" s="49"/>
      <c r="H230" s="168"/>
      <c r="I230" s="167"/>
      <c r="J230" s="48"/>
      <c r="K230" s="48"/>
    </row>
    <row r="231" spans="1:11" s="31" customFormat="1" x14ac:dyDescent="0.3">
      <c r="A231" s="42"/>
      <c r="B231" s="166">
        <v>46044</v>
      </c>
      <c r="C231" s="48" t="s">
        <v>251</v>
      </c>
      <c r="D231" s="10">
        <v>160000</v>
      </c>
      <c r="E231" s="4" t="s">
        <v>299</v>
      </c>
      <c r="G231" s="49"/>
      <c r="H231" s="168"/>
      <c r="I231" s="167"/>
      <c r="J231" s="48"/>
      <c r="K231" s="48"/>
    </row>
    <row r="232" spans="1:11" s="31" customFormat="1" x14ac:dyDescent="0.3">
      <c r="A232" s="42"/>
      <c r="B232" s="166">
        <v>46045</v>
      </c>
      <c r="C232" s="48" t="s">
        <v>305</v>
      </c>
      <c r="D232" s="10">
        <v>3350000</v>
      </c>
      <c r="E232" s="4" t="s">
        <v>299</v>
      </c>
      <c r="G232" s="49"/>
      <c r="H232" s="168"/>
      <c r="I232" s="167"/>
      <c r="J232" s="48"/>
      <c r="K232" s="48"/>
    </row>
    <row r="233" spans="1:11" s="31" customFormat="1" x14ac:dyDescent="0.3">
      <c r="A233" s="42"/>
      <c r="B233" s="166">
        <v>46046</v>
      </c>
      <c r="C233" s="48" t="s">
        <v>251</v>
      </c>
      <c r="D233" s="10">
        <v>190000</v>
      </c>
      <c r="E233" s="4" t="s">
        <v>299</v>
      </c>
      <c r="G233" s="49"/>
      <c r="H233" s="168"/>
      <c r="I233" s="167"/>
      <c r="J233" s="48"/>
      <c r="K233" s="48"/>
    </row>
    <row r="234" spans="1:11" s="31" customFormat="1" x14ac:dyDescent="0.3">
      <c r="A234" s="42"/>
      <c r="B234" s="166">
        <v>46047</v>
      </c>
      <c r="C234" s="48" t="s">
        <v>251</v>
      </c>
      <c r="D234" s="10">
        <v>1385000</v>
      </c>
      <c r="E234" s="4" t="s">
        <v>299</v>
      </c>
      <c r="G234" s="49"/>
      <c r="H234" s="168"/>
      <c r="I234" s="167"/>
      <c r="J234" s="48"/>
      <c r="K234" s="48"/>
    </row>
    <row r="235" spans="1:11" s="31" customFormat="1" x14ac:dyDescent="0.3">
      <c r="A235" s="42"/>
      <c r="B235" s="166">
        <v>46048</v>
      </c>
      <c r="C235" s="48" t="s">
        <v>251</v>
      </c>
      <c r="D235" s="10">
        <v>80000</v>
      </c>
      <c r="E235" s="4" t="s">
        <v>299</v>
      </c>
      <c r="G235" s="49"/>
      <c r="H235" s="168"/>
      <c r="I235" s="167"/>
      <c r="J235" s="48"/>
      <c r="K235" s="48"/>
    </row>
    <row r="236" spans="1:11" s="31" customFormat="1" x14ac:dyDescent="0.3">
      <c r="A236" s="42"/>
      <c r="B236" s="166">
        <v>46048</v>
      </c>
      <c r="C236" s="48" t="s">
        <v>304</v>
      </c>
      <c r="D236" s="10">
        <v>300000</v>
      </c>
      <c r="E236" s="4" t="s">
        <v>299</v>
      </c>
      <c r="G236" s="49"/>
      <c r="H236" s="168"/>
      <c r="I236" s="167"/>
      <c r="J236" s="48"/>
      <c r="K236" s="48"/>
    </row>
    <row r="237" spans="1:11" s="31" customFormat="1" x14ac:dyDescent="0.3">
      <c r="A237" s="42"/>
      <c r="B237" s="166">
        <v>46048</v>
      </c>
      <c r="C237" s="48" t="s">
        <v>251</v>
      </c>
      <c r="D237" s="10">
        <v>32000</v>
      </c>
      <c r="E237" s="4" t="s">
        <v>299</v>
      </c>
      <c r="G237" s="49"/>
      <c r="H237" s="168"/>
      <c r="I237" s="167"/>
      <c r="J237" s="48"/>
      <c r="K237" s="48"/>
    </row>
    <row r="238" spans="1:11" s="31" customFormat="1" x14ac:dyDescent="0.3">
      <c r="A238" s="42"/>
      <c r="B238" s="166">
        <v>45684</v>
      </c>
      <c r="C238" s="167" t="s">
        <v>317</v>
      </c>
      <c r="D238" s="10">
        <v>710000</v>
      </c>
      <c r="E238" s="4" t="s">
        <v>275</v>
      </c>
      <c r="G238" s="49"/>
      <c r="H238" s="168"/>
      <c r="I238" s="167"/>
      <c r="J238" s="48"/>
      <c r="K238" s="48"/>
    </row>
    <row r="239" spans="1:11" s="31" customFormat="1" x14ac:dyDescent="0.3">
      <c r="A239" s="42"/>
      <c r="B239" s="166">
        <v>46050</v>
      </c>
      <c r="C239" s="48" t="s">
        <v>251</v>
      </c>
      <c r="D239" s="10">
        <v>300000</v>
      </c>
      <c r="E239" s="4" t="s">
        <v>299</v>
      </c>
      <c r="G239" s="49"/>
      <c r="H239" s="168"/>
      <c r="I239" s="167"/>
      <c r="J239" s="48"/>
      <c r="K239" s="48"/>
    </row>
    <row r="240" spans="1:11" s="31" customFormat="1" x14ac:dyDescent="0.3">
      <c r="A240" s="42"/>
      <c r="B240" s="166">
        <v>46050</v>
      </c>
      <c r="C240" s="48" t="s">
        <v>251</v>
      </c>
      <c r="D240" s="10">
        <v>60000</v>
      </c>
      <c r="E240" s="4" t="s">
        <v>299</v>
      </c>
      <c r="G240" s="49"/>
      <c r="H240" s="168"/>
      <c r="I240" s="167"/>
      <c r="J240" s="48"/>
      <c r="K240" s="48"/>
    </row>
    <row r="241" spans="1:11" s="31" customFormat="1" x14ac:dyDescent="0.3">
      <c r="A241" s="42"/>
      <c r="B241" s="166">
        <v>46051</v>
      </c>
      <c r="C241" s="48" t="s">
        <v>251</v>
      </c>
      <c r="D241" s="10">
        <v>145000</v>
      </c>
      <c r="E241" s="4" t="s">
        <v>299</v>
      </c>
      <c r="G241" s="49"/>
      <c r="H241" s="168"/>
      <c r="I241" s="167"/>
      <c r="J241" s="48"/>
      <c r="K241" s="48"/>
    </row>
    <row r="242" spans="1:11" s="31" customFormat="1" x14ac:dyDescent="0.3">
      <c r="A242" s="42"/>
      <c r="B242" s="166">
        <v>46055</v>
      </c>
      <c r="C242" s="48" t="s">
        <v>251</v>
      </c>
      <c r="D242" s="10">
        <v>530000</v>
      </c>
      <c r="E242" s="4" t="s">
        <v>299</v>
      </c>
      <c r="G242" s="49"/>
      <c r="H242" s="168"/>
      <c r="I242" s="167"/>
      <c r="J242" s="48"/>
      <c r="K242" s="48"/>
    </row>
    <row r="243" spans="1:11" s="31" customFormat="1" x14ac:dyDescent="0.3">
      <c r="A243" s="42"/>
      <c r="B243" s="166">
        <v>46055</v>
      </c>
      <c r="C243" s="48" t="s">
        <v>251</v>
      </c>
      <c r="D243" s="10">
        <v>400000</v>
      </c>
      <c r="E243" s="4" t="s">
        <v>299</v>
      </c>
      <c r="G243" s="49"/>
      <c r="H243" s="168"/>
      <c r="I243" s="167"/>
      <c r="J243" s="48"/>
      <c r="K243" s="48"/>
    </row>
    <row r="244" spans="1:11" s="31" customFormat="1" x14ac:dyDescent="0.3">
      <c r="A244" s="42"/>
      <c r="B244" s="166">
        <v>46057</v>
      </c>
      <c r="C244" s="48" t="s">
        <v>251</v>
      </c>
      <c r="D244" s="10">
        <v>300000</v>
      </c>
      <c r="E244" s="4" t="s">
        <v>299</v>
      </c>
      <c r="G244" s="49"/>
      <c r="H244" s="168"/>
      <c r="I244" s="167"/>
      <c r="J244" s="48"/>
      <c r="K244" s="48"/>
    </row>
    <row r="245" spans="1:11" s="31" customFormat="1" x14ac:dyDescent="0.3">
      <c r="A245" s="42"/>
      <c r="B245" s="166">
        <v>46057</v>
      </c>
      <c r="C245" s="48" t="s">
        <v>251</v>
      </c>
      <c r="D245" s="10">
        <v>1219000</v>
      </c>
      <c r="E245" s="4" t="s">
        <v>299</v>
      </c>
      <c r="G245" s="49"/>
      <c r="H245" s="168"/>
      <c r="I245" s="167"/>
      <c r="J245" s="48"/>
      <c r="K245" s="48"/>
    </row>
    <row r="246" spans="1:11" s="31" customFormat="1" x14ac:dyDescent="0.3">
      <c r="A246" s="42"/>
      <c r="B246" s="166">
        <v>46057</v>
      </c>
      <c r="C246" s="167" t="s">
        <v>303</v>
      </c>
      <c r="D246" s="10">
        <v>138000</v>
      </c>
      <c r="E246" s="4" t="s">
        <v>299</v>
      </c>
      <c r="G246" s="49"/>
      <c r="H246" s="168"/>
      <c r="I246" s="167"/>
      <c r="J246" s="48"/>
      <c r="K246" s="48"/>
    </row>
    <row r="247" spans="1:11" s="31" customFormat="1" x14ac:dyDescent="0.3">
      <c r="A247" s="42"/>
      <c r="B247" s="166">
        <v>46059</v>
      </c>
      <c r="C247" s="167" t="s">
        <v>302</v>
      </c>
      <c r="D247" s="10">
        <v>200000</v>
      </c>
      <c r="E247" s="4" t="s">
        <v>275</v>
      </c>
      <c r="G247" s="49"/>
      <c r="H247" s="168"/>
      <c r="I247" s="167"/>
      <c r="J247" s="48"/>
      <c r="K247" s="48"/>
    </row>
    <row r="248" spans="1:11" s="31" customFormat="1" x14ac:dyDescent="0.3">
      <c r="A248" s="42"/>
      <c r="B248" s="166">
        <v>46059</v>
      </c>
      <c r="C248" s="167" t="s">
        <v>302</v>
      </c>
      <c r="D248" s="10">
        <v>300000</v>
      </c>
      <c r="E248" s="4" t="s">
        <v>299</v>
      </c>
      <c r="G248" s="49"/>
      <c r="H248" s="168"/>
      <c r="I248" s="167"/>
      <c r="J248" s="48"/>
      <c r="K248" s="48"/>
    </row>
    <row r="249" spans="1:11" s="31" customFormat="1" x14ac:dyDescent="0.3">
      <c r="A249" s="42"/>
      <c r="B249" s="166">
        <v>46060</v>
      </c>
      <c r="C249" s="167" t="s">
        <v>301</v>
      </c>
      <c r="D249" s="10">
        <v>500000</v>
      </c>
      <c r="E249" s="4" t="s">
        <v>299</v>
      </c>
      <c r="G249" s="49"/>
      <c r="H249" s="168"/>
      <c r="I249" s="167"/>
      <c r="J249" s="48"/>
      <c r="K249" s="48"/>
    </row>
    <row r="250" spans="1:11" s="31" customFormat="1" x14ac:dyDescent="0.3">
      <c r="A250" s="42"/>
      <c r="B250" s="166">
        <v>46061</v>
      </c>
      <c r="C250" s="48" t="s">
        <v>251</v>
      </c>
      <c r="D250" s="10">
        <v>1532000</v>
      </c>
      <c r="E250" s="4" t="s">
        <v>299</v>
      </c>
      <c r="G250" s="49"/>
      <c r="H250" s="168"/>
      <c r="I250" s="167"/>
      <c r="J250" s="48"/>
      <c r="K250" s="48"/>
    </row>
    <row r="251" spans="1:11" s="31" customFormat="1" x14ac:dyDescent="0.3">
      <c r="A251" s="42"/>
      <c r="B251" s="166">
        <v>46061</v>
      </c>
      <c r="C251" s="48" t="s">
        <v>251</v>
      </c>
      <c r="D251" s="10">
        <v>60000</v>
      </c>
      <c r="E251" s="4" t="s">
        <v>299</v>
      </c>
      <c r="G251" s="49"/>
      <c r="H251" s="168"/>
      <c r="I251" s="167"/>
      <c r="J251" s="48"/>
      <c r="K251" s="48"/>
    </row>
    <row r="252" spans="1:11" s="31" customFormat="1" x14ac:dyDescent="0.3">
      <c r="A252" s="42"/>
      <c r="B252" s="166">
        <v>46063</v>
      </c>
      <c r="C252" s="167" t="s">
        <v>300</v>
      </c>
      <c r="D252" s="10">
        <v>1000000</v>
      </c>
      <c r="E252" s="4" t="s">
        <v>299</v>
      </c>
      <c r="G252" s="49"/>
      <c r="H252" s="168"/>
      <c r="I252" s="167"/>
      <c r="J252" s="48"/>
      <c r="K252" s="48"/>
    </row>
    <row r="253" spans="1:11" s="31" customFormat="1" x14ac:dyDescent="0.3">
      <c r="A253" s="42"/>
      <c r="B253" s="166"/>
      <c r="C253" s="167"/>
      <c r="D253" s="10"/>
      <c r="E253" s="4"/>
      <c r="G253" s="49"/>
      <c r="H253" s="168"/>
      <c r="I253" s="167"/>
      <c r="J253" s="48"/>
      <c r="K253" s="48"/>
    </row>
    <row r="254" spans="1:11" s="31" customFormat="1" x14ac:dyDescent="0.3">
      <c r="A254" s="445" t="s">
        <v>27</v>
      </c>
      <c r="B254" s="446"/>
      <c r="C254" s="447"/>
      <c r="D254" s="12">
        <f>SUM(D5:D253)</f>
        <v>227631520</v>
      </c>
      <c r="E254" s="4"/>
      <c r="G254" s="445" t="s">
        <v>27</v>
      </c>
      <c r="H254" s="446"/>
      <c r="I254" s="447"/>
      <c r="J254" s="12" t="e">
        <f>SUM(J5:J178)</f>
        <v>#REF!</v>
      </c>
      <c r="K254" s="4"/>
    </row>
    <row r="255" spans="1:11" s="31" customFormat="1" x14ac:dyDescent="0.3"/>
    <row r="284" spans="9:16" x14ac:dyDescent="0.3">
      <c r="P284" s="1">
        <f>170000000</f>
        <v>170000000</v>
      </c>
    </row>
    <row r="285" spans="9:16" x14ac:dyDescent="0.3">
      <c r="I285" s="20" t="e">
        <f>'TH Thu chi'!C34-'TH Thu chi'!H34</f>
        <v>#REF!</v>
      </c>
      <c r="P285" s="20">
        <f>'TH Thu chi'!H34-P284</f>
        <v>2748981900</v>
      </c>
    </row>
    <row r="287" spans="9:16" x14ac:dyDescent="0.3">
      <c r="I287" s="20"/>
    </row>
  </sheetData>
  <mergeCells count="6">
    <mergeCell ref="A254:C254"/>
    <mergeCell ref="M3:Q3"/>
    <mergeCell ref="M28:O28"/>
    <mergeCell ref="G3:K3"/>
    <mergeCell ref="G254:I254"/>
    <mergeCell ref="A3:E3"/>
  </mergeCells>
  <pageMargins left="0.7" right="0.7" top="0.75" bottom="0.75" header="0.3" footer="0.3"/>
  <pageSetup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G20"/>
  <sheetViews>
    <sheetView topLeftCell="A13" workbookViewId="0">
      <selection activeCell="C17" sqref="C17"/>
    </sheetView>
  </sheetViews>
  <sheetFormatPr defaultRowHeight="15.6" x14ac:dyDescent="0.3"/>
  <cols>
    <col min="1" max="1" width="8.88671875" style="3"/>
    <col min="2" max="2" width="33.88671875" style="3" customWidth="1"/>
    <col min="3" max="3" width="15" style="183" customWidth="1"/>
    <col min="4" max="4" width="51.88671875" style="3" customWidth="1"/>
    <col min="5" max="5" width="8.88671875" style="1"/>
    <col min="6" max="6" width="20.44140625" style="1" customWidth="1"/>
    <col min="7" max="7" width="15.77734375" style="1" customWidth="1"/>
    <col min="8" max="16384" width="8.88671875" style="1"/>
  </cols>
  <sheetData>
    <row r="1" spans="1:7" ht="23.4" customHeight="1" x14ac:dyDescent="0.3">
      <c r="A1" s="445" t="s">
        <v>318</v>
      </c>
      <c r="B1" s="446"/>
      <c r="C1" s="446"/>
      <c r="D1" s="447"/>
    </row>
    <row r="2" spans="1:7" s="6" customFormat="1" ht="21" customHeight="1" x14ac:dyDescent="0.3">
      <c r="A2" s="177" t="s">
        <v>319</v>
      </c>
      <c r="B2" s="177" t="s">
        <v>90</v>
      </c>
      <c r="C2" s="9" t="s">
        <v>12</v>
      </c>
      <c r="D2" s="177" t="s">
        <v>14</v>
      </c>
      <c r="F2" s="6" t="s">
        <v>343</v>
      </c>
      <c r="G2" s="197">
        <f>85000000*26</f>
        <v>2210000000</v>
      </c>
    </row>
    <row r="3" spans="1:7" s="6" customFormat="1" ht="16.2" x14ac:dyDescent="0.3">
      <c r="A3" s="189">
        <v>1</v>
      </c>
      <c r="B3" s="190" t="s">
        <v>320</v>
      </c>
      <c r="C3" s="191">
        <v>2450915000</v>
      </c>
      <c r="D3" s="192" t="s">
        <v>326</v>
      </c>
      <c r="F3" s="6" t="s">
        <v>344</v>
      </c>
      <c r="G3" s="197">
        <f>80200000*7</f>
        <v>561400000</v>
      </c>
    </row>
    <row r="4" spans="1:7" ht="31.2" x14ac:dyDescent="0.3">
      <c r="A4" s="4">
        <v>1.1000000000000001</v>
      </c>
      <c r="B4" s="184" t="s">
        <v>173</v>
      </c>
      <c r="C4" s="185">
        <f>249785000+10130000+9930000+8220000+9420000+13490000+12000000</f>
        <v>312975000</v>
      </c>
      <c r="D4" s="187" t="s">
        <v>324</v>
      </c>
      <c r="G4" s="198">
        <f>G2+G3</f>
        <v>2771400000</v>
      </c>
    </row>
    <row r="5" spans="1:7" x14ac:dyDescent="0.3">
      <c r="A5" s="4">
        <v>1.2</v>
      </c>
      <c r="B5" s="184" t="s">
        <v>321</v>
      </c>
      <c r="C5" s="185">
        <v>10000000</v>
      </c>
      <c r="D5" s="186" t="s">
        <v>323</v>
      </c>
      <c r="G5" s="198">
        <f>G4-26*5000000-7*4600000</f>
        <v>2609200000</v>
      </c>
    </row>
    <row r="6" spans="1:7" x14ac:dyDescent="0.3">
      <c r="A6" s="4">
        <v>1.3</v>
      </c>
      <c r="B6" s="184" t="s">
        <v>322</v>
      </c>
      <c r="C6" s="185">
        <v>70000000</v>
      </c>
      <c r="D6" s="186" t="s">
        <v>323</v>
      </c>
    </row>
    <row r="7" spans="1:7" x14ac:dyDescent="0.3">
      <c r="A7" s="4">
        <v>1.4</v>
      </c>
      <c r="B7" s="184" t="s">
        <v>325</v>
      </c>
      <c r="C7" s="185">
        <f>C3-C4-C5-C6</f>
        <v>2057940000</v>
      </c>
      <c r="D7" s="4"/>
    </row>
    <row r="11" spans="1:7" x14ac:dyDescent="0.3">
      <c r="A11" s="445" t="s">
        <v>346</v>
      </c>
      <c r="B11" s="446"/>
      <c r="C11" s="446"/>
      <c r="D11" s="447"/>
    </row>
    <row r="12" spans="1:7" x14ac:dyDescent="0.3">
      <c r="A12" s="177" t="s">
        <v>319</v>
      </c>
      <c r="B12" s="177" t="s">
        <v>90</v>
      </c>
      <c r="C12" s="9" t="s">
        <v>12</v>
      </c>
      <c r="D12" s="177" t="s">
        <v>14</v>
      </c>
    </row>
    <row r="13" spans="1:7" x14ac:dyDescent="0.3">
      <c r="A13" s="4">
        <v>1</v>
      </c>
      <c r="B13" s="184" t="s">
        <v>347</v>
      </c>
      <c r="C13" s="10">
        <f>2610000000+80000000</f>
        <v>2690000000</v>
      </c>
      <c r="D13" s="186" t="s">
        <v>348</v>
      </c>
    </row>
    <row r="14" spans="1:7" x14ac:dyDescent="0.3">
      <c r="A14" s="4">
        <v>2</v>
      </c>
      <c r="B14" s="184" t="s">
        <v>350</v>
      </c>
      <c r="C14" s="10">
        <f>C7</f>
        <v>2057940000</v>
      </c>
      <c r="D14" s="187"/>
    </row>
    <row r="15" spans="1:7" x14ac:dyDescent="0.3">
      <c r="A15" s="4">
        <v>3</v>
      </c>
      <c r="B15" s="184" t="s">
        <v>349</v>
      </c>
      <c r="C15" s="10">
        <f>C6</f>
        <v>70000000</v>
      </c>
      <c r="D15" s="186" t="s">
        <v>323</v>
      </c>
    </row>
    <row r="16" spans="1:7" ht="31.2" x14ac:dyDescent="0.3">
      <c r="A16" s="4">
        <v>4</v>
      </c>
      <c r="B16" s="199" t="s">
        <v>351</v>
      </c>
      <c r="C16" s="10">
        <v>227631520</v>
      </c>
      <c r="D16" s="186" t="s">
        <v>354</v>
      </c>
    </row>
    <row r="17" spans="1:4" ht="16.8" customHeight="1" x14ac:dyDescent="0.3">
      <c r="A17" s="4">
        <v>5</v>
      </c>
      <c r="B17" s="199" t="s">
        <v>352</v>
      </c>
      <c r="C17" s="10">
        <v>6000000</v>
      </c>
      <c r="D17" s="186"/>
    </row>
    <row r="18" spans="1:4" ht="16.8" customHeight="1" x14ac:dyDescent="0.3">
      <c r="A18" s="4">
        <v>6</v>
      </c>
      <c r="B18" s="199" t="s">
        <v>353</v>
      </c>
      <c r="C18" s="10">
        <v>5000000</v>
      </c>
      <c r="D18" s="186" t="s">
        <v>323</v>
      </c>
    </row>
    <row r="19" spans="1:4" s="6" customFormat="1" ht="16.8" customHeight="1" x14ac:dyDescent="0.3">
      <c r="A19" s="177">
        <v>7</v>
      </c>
      <c r="B19" s="200" t="s">
        <v>355</v>
      </c>
      <c r="C19" s="12">
        <f>C13-SUM(C14:C18)</f>
        <v>323428480</v>
      </c>
      <c r="D19" s="188"/>
    </row>
    <row r="20" spans="1:4" ht="16.2" x14ac:dyDescent="0.3">
      <c r="A20" s="451" t="s">
        <v>345</v>
      </c>
      <c r="B20" s="452"/>
      <c r="C20" s="452"/>
      <c r="D20" s="452"/>
    </row>
  </sheetData>
  <mergeCells count="3">
    <mergeCell ref="A1:D1"/>
    <mergeCell ref="A20:D20"/>
    <mergeCell ref="A11:D11"/>
  </mergeCells>
  <pageMargins left="0.7" right="0.7" top="0.75" bottom="0.75" header="0.3" footer="0.3"/>
  <pageSetup orientation="portrait" horizontalDpi="0" verticalDpi="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7"/>
  <sheetViews>
    <sheetView topLeftCell="A22" workbookViewId="0">
      <selection activeCell="K38" sqref="K38"/>
    </sheetView>
  </sheetViews>
  <sheetFormatPr defaultRowHeight="14.4" x14ac:dyDescent="0.3"/>
  <cols>
    <col min="2" max="2" width="21" customWidth="1"/>
    <col min="3" max="3" width="14" customWidth="1"/>
    <col min="5" max="5" width="8.109375" customWidth="1"/>
    <col min="6" max="6" width="13.77734375" customWidth="1"/>
    <col min="7" max="7" width="15.21875" bestFit="1" customWidth="1"/>
    <col min="8" max="8" width="14.109375" customWidth="1"/>
    <col min="9" max="9" width="23.21875" customWidth="1"/>
  </cols>
  <sheetData>
    <row r="1" spans="1:9" ht="15.6" x14ac:dyDescent="0.3">
      <c r="A1" s="453" t="s">
        <v>208</v>
      </c>
      <c r="B1" s="454"/>
      <c r="C1" s="454"/>
      <c r="D1" s="455"/>
      <c r="E1" s="453" t="s">
        <v>209</v>
      </c>
      <c r="F1" s="454"/>
      <c r="G1" s="454"/>
      <c r="H1" s="454"/>
      <c r="I1" s="455"/>
    </row>
    <row r="2" spans="1:9" ht="15.6" x14ac:dyDescent="0.3">
      <c r="A2" s="147" t="s">
        <v>0</v>
      </c>
      <c r="B2" s="14" t="s">
        <v>10</v>
      </c>
      <c r="C2" s="15" t="s">
        <v>12</v>
      </c>
      <c r="D2" s="148" t="s">
        <v>14</v>
      </c>
      <c r="E2" s="147" t="s">
        <v>0</v>
      </c>
      <c r="F2" s="13" t="s">
        <v>11</v>
      </c>
      <c r="G2" s="14" t="s">
        <v>10</v>
      </c>
      <c r="H2" s="15" t="s">
        <v>12</v>
      </c>
      <c r="I2" s="148" t="s">
        <v>14</v>
      </c>
    </row>
    <row r="3" spans="1:9" ht="15.6" x14ac:dyDescent="0.3">
      <c r="A3" s="149">
        <v>1</v>
      </c>
      <c r="B3" s="17" t="s">
        <v>31</v>
      </c>
      <c r="C3" s="18" t="e">
        <f>'Chi Phí'!J254</f>
        <v>#REF!</v>
      </c>
      <c r="D3" s="150"/>
      <c r="E3" s="149">
        <v>1</v>
      </c>
      <c r="F3" s="16"/>
      <c r="G3" s="17" t="s">
        <v>54</v>
      </c>
      <c r="H3" s="18">
        <v>50000000</v>
      </c>
      <c r="I3" s="150"/>
    </row>
    <row r="4" spans="1:9" ht="15.6" x14ac:dyDescent="0.3">
      <c r="A4" s="149">
        <v>2</v>
      </c>
      <c r="B4" s="17" t="s">
        <v>3</v>
      </c>
      <c r="C4" s="18">
        <f>'Chi Phí'!P28</f>
        <v>20140000</v>
      </c>
      <c r="D4" s="150"/>
      <c r="E4" s="149">
        <v>2</v>
      </c>
      <c r="F4" s="16">
        <v>45842</v>
      </c>
      <c r="G4" s="17" t="s">
        <v>55</v>
      </c>
      <c r="H4" s="18">
        <v>85000000</v>
      </c>
      <c r="I4" s="150"/>
    </row>
    <row r="5" spans="1:9" ht="15.6" x14ac:dyDescent="0.3">
      <c r="A5" s="149">
        <v>3</v>
      </c>
      <c r="B5" s="17" t="s">
        <v>32</v>
      </c>
      <c r="C5" s="18">
        <f>'Chi Phí'!D254</f>
        <v>227631520</v>
      </c>
      <c r="D5" s="150"/>
      <c r="E5" s="149">
        <v>3</v>
      </c>
      <c r="F5" s="16">
        <v>45854</v>
      </c>
      <c r="G5" s="17" t="s">
        <v>56</v>
      </c>
      <c r="H5" s="18">
        <v>35700000</v>
      </c>
      <c r="I5" s="150"/>
    </row>
    <row r="6" spans="1:9" ht="15.6" x14ac:dyDescent="0.3">
      <c r="A6" s="149"/>
      <c r="B6" s="19"/>
      <c r="C6" s="18"/>
      <c r="D6" s="150"/>
      <c r="E6" s="149">
        <v>4</v>
      </c>
      <c r="F6" s="16">
        <v>45861</v>
      </c>
      <c r="G6" s="47" t="s">
        <v>68</v>
      </c>
      <c r="H6" s="18">
        <v>125000000</v>
      </c>
      <c r="I6" s="150"/>
    </row>
    <row r="7" spans="1:9" ht="15.6" x14ac:dyDescent="0.3">
      <c r="A7" s="149"/>
      <c r="B7" s="17"/>
      <c r="C7" s="18"/>
      <c r="D7" s="150"/>
      <c r="E7" s="149">
        <v>5</v>
      </c>
      <c r="F7" s="16">
        <v>45875</v>
      </c>
      <c r="G7" s="47" t="s">
        <v>141</v>
      </c>
      <c r="H7" s="18">
        <v>48600000</v>
      </c>
      <c r="I7" s="150"/>
    </row>
    <row r="8" spans="1:9" ht="15.6" x14ac:dyDescent="0.3">
      <c r="A8" s="149"/>
      <c r="B8" s="17"/>
      <c r="C8" s="18"/>
      <c r="D8" s="150"/>
      <c r="E8" s="149">
        <v>6</v>
      </c>
      <c r="F8" s="16">
        <v>45881</v>
      </c>
      <c r="G8" s="47" t="s">
        <v>162</v>
      </c>
      <c r="H8" s="18">
        <f>8100000*7+3*8200000</f>
        <v>81300000</v>
      </c>
      <c r="I8" s="150"/>
    </row>
    <row r="9" spans="1:9" ht="15.6" x14ac:dyDescent="0.3">
      <c r="A9" s="149"/>
      <c r="B9" s="17"/>
      <c r="C9" s="18"/>
      <c r="D9" s="150"/>
      <c r="E9" s="149">
        <v>7</v>
      </c>
      <c r="F9" s="16">
        <v>45894</v>
      </c>
      <c r="G9" s="47" t="s">
        <v>195</v>
      </c>
      <c r="H9" s="18">
        <v>49000000</v>
      </c>
      <c r="I9" s="150"/>
    </row>
    <row r="10" spans="1:9" ht="15.6" x14ac:dyDescent="0.3">
      <c r="A10" s="149"/>
      <c r="B10" s="17"/>
      <c r="C10" s="18"/>
      <c r="D10" s="150"/>
      <c r="E10" s="149">
        <v>8</v>
      </c>
      <c r="F10" s="16">
        <v>45900</v>
      </c>
      <c r="G10" s="47" t="s">
        <v>184</v>
      </c>
      <c r="H10" s="18">
        <v>91000000</v>
      </c>
      <c r="I10" s="150"/>
    </row>
    <row r="11" spans="1:9" ht="15.6" x14ac:dyDescent="0.3">
      <c r="A11" s="149"/>
      <c r="B11" s="17"/>
      <c r="C11" s="18"/>
      <c r="D11" s="150"/>
      <c r="E11" s="149">
        <v>9</v>
      </c>
      <c r="F11" s="16"/>
      <c r="G11" s="17" t="s">
        <v>185</v>
      </c>
      <c r="H11" s="18">
        <v>50000000</v>
      </c>
      <c r="I11" s="150" t="s">
        <v>205</v>
      </c>
    </row>
    <row r="12" spans="1:9" ht="15.6" x14ac:dyDescent="0.3">
      <c r="A12" s="149"/>
      <c r="B12" s="17"/>
      <c r="C12" s="18"/>
      <c r="D12" s="150"/>
      <c r="E12" s="149">
        <v>10</v>
      </c>
      <c r="F12" s="16"/>
      <c r="G12" s="17" t="s">
        <v>185</v>
      </c>
      <c r="H12" s="18">
        <v>11000000</v>
      </c>
      <c r="I12" s="150" t="s">
        <v>205</v>
      </c>
    </row>
    <row r="13" spans="1:9" ht="15.6" x14ac:dyDescent="0.3">
      <c r="A13" s="149"/>
      <c r="B13" s="17"/>
      <c r="C13" s="18"/>
      <c r="D13" s="150"/>
      <c r="E13" s="149">
        <v>11</v>
      </c>
      <c r="F13" s="16">
        <v>45915</v>
      </c>
      <c r="G13" s="47" t="s">
        <v>196</v>
      </c>
      <c r="H13" s="18">
        <v>98800000</v>
      </c>
      <c r="I13" s="150"/>
    </row>
    <row r="14" spans="1:9" ht="15.6" x14ac:dyDescent="0.3">
      <c r="A14" s="149"/>
      <c r="B14" s="17"/>
      <c r="C14" s="18"/>
      <c r="D14" s="150"/>
      <c r="E14" s="149">
        <v>12</v>
      </c>
      <c r="F14" s="16">
        <v>45919</v>
      </c>
      <c r="G14" s="17" t="s">
        <v>185</v>
      </c>
      <c r="H14" s="18">
        <v>80000000</v>
      </c>
      <c r="I14" s="150" t="s">
        <v>205</v>
      </c>
    </row>
    <row r="15" spans="1:9" ht="15.6" x14ac:dyDescent="0.3">
      <c r="A15" s="151"/>
      <c r="B15" s="140"/>
      <c r="C15" s="18"/>
      <c r="D15" s="150"/>
      <c r="E15" s="149">
        <v>13</v>
      </c>
      <c r="F15" s="16">
        <v>45923</v>
      </c>
      <c r="G15" s="17" t="s">
        <v>218</v>
      </c>
      <c r="H15" s="18">
        <v>-15000000</v>
      </c>
      <c r="I15" s="150" t="s">
        <v>205</v>
      </c>
    </row>
    <row r="16" spans="1:9" ht="15.6" x14ac:dyDescent="0.3">
      <c r="A16" s="151"/>
      <c r="B16" s="140"/>
      <c r="C16" s="18"/>
      <c r="D16" s="150"/>
      <c r="E16" s="149">
        <v>14</v>
      </c>
      <c r="F16" s="16">
        <v>45924</v>
      </c>
      <c r="G16" s="47" t="s">
        <v>219</v>
      </c>
      <c r="H16" s="18">
        <v>127800000</v>
      </c>
      <c r="I16" s="150"/>
    </row>
    <row r="17" spans="1:9" ht="15.6" x14ac:dyDescent="0.3">
      <c r="A17" s="151"/>
      <c r="B17" s="140"/>
      <c r="C17" s="18"/>
      <c r="D17" s="150"/>
      <c r="E17" s="149">
        <v>15</v>
      </c>
      <c r="F17" s="16">
        <v>45933</v>
      </c>
      <c r="G17" s="47" t="s">
        <v>227</v>
      </c>
      <c r="H17" s="18">
        <v>104300000</v>
      </c>
      <c r="I17" s="150"/>
    </row>
    <row r="18" spans="1:9" ht="15.6" x14ac:dyDescent="0.3">
      <c r="A18" s="151"/>
      <c r="B18" s="140"/>
      <c r="C18" s="18"/>
      <c r="D18" s="150"/>
      <c r="E18" s="149">
        <v>16</v>
      </c>
      <c r="F18" s="16">
        <v>45946</v>
      </c>
      <c r="G18" s="47" t="s">
        <v>228</v>
      </c>
      <c r="H18" s="18">
        <v>53000000</v>
      </c>
      <c r="I18" s="150"/>
    </row>
    <row r="19" spans="1:9" ht="15.6" x14ac:dyDescent="0.3">
      <c r="A19" s="151"/>
      <c r="B19" s="140"/>
      <c r="C19" s="18"/>
      <c r="D19" s="150"/>
      <c r="E19" s="149">
        <v>17</v>
      </c>
      <c r="F19" s="16"/>
      <c r="G19" s="17" t="s">
        <v>185</v>
      </c>
      <c r="H19" s="18">
        <v>27000000</v>
      </c>
      <c r="I19" s="150" t="s">
        <v>205</v>
      </c>
    </row>
    <row r="20" spans="1:9" ht="15.6" x14ac:dyDescent="0.3">
      <c r="A20" s="151"/>
      <c r="B20" s="140"/>
      <c r="C20" s="18"/>
      <c r="D20" s="150"/>
      <c r="E20" s="149">
        <v>18</v>
      </c>
      <c r="F20" s="16"/>
      <c r="G20" s="17" t="s">
        <v>185</v>
      </c>
      <c r="H20" s="18">
        <v>33000000</v>
      </c>
      <c r="I20" s="150" t="s">
        <v>205</v>
      </c>
    </row>
    <row r="21" spans="1:9" ht="15.6" x14ac:dyDescent="0.3">
      <c r="A21" s="151"/>
      <c r="B21" s="140"/>
      <c r="C21" s="18"/>
      <c r="D21" s="150"/>
      <c r="E21" s="149">
        <v>19</v>
      </c>
      <c r="F21" s="16">
        <v>45955</v>
      </c>
      <c r="G21" s="47" t="s">
        <v>269</v>
      </c>
      <c r="H21" s="18">
        <v>237800000</v>
      </c>
      <c r="I21" s="150"/>
    </row>
    <row r="22" spans="1:9" ht="15.6" x14ac:dyDescent="0.3">
      <c r="A22" s="151"/>
      <c r="B22" s="140"/>
      <c r="C22" s="18"/>
      <c r="D22" s="150"/>
      <c r="E22" s="149">
        <v>20</v>
      </c>
      <c r="F22" s="16">
        <v>45967</v>
      </c>
      <c r="G22" s="47" t="s">
        <v>270</v>
      </c>
      <c r="H22" s="18">
        <v>101100000</v>
      </c>
      <c r="I22" s="150"/>
    </row>
    <row r="23" spans="1:9" ht="15.6" x14ac:dyDescent="0.3">
      <c r="A23" s="151"/>
      <c r="B23" s="140"/>
      <c r="C23" s="18"/>
      <c r="D23" s="150"/>
      <c r="E23" s="149">
        <v>21</v>
      </c>
      <c r="F23" s="16">
        <v>45975</v>
      </c>
      <c r="G23" s="47" t="s">
        <v>271</v>
      </c>
      <c r="H23" s="18">
        <v>48600000</v>
      </c>
      <c r="I23" s="150"/>
    </row>
    <row r="24" spans="1:9" ht="15.6" x14ac:dyDescent="0.3">
      <c r="A24" s="151"/>
      <c r="B24" s="140"/>
      <c r="C24" s="18"/>
      <c r="D24" s="150"/>
      <c r="E24" s="149">
        <v>22</v>
      </c>
      <c r="F24" s="16">
        <v>45986</v>
      </c>
      <c r="G24" s="47" t="s">
        <v>272</v>
      </c>
      <c r="H24" s="18">
        <v>67900000</v>
      </c>
      <c r="I24" s="150"/>
    </row>
    <row r="25" spans="1:9" ht="15.6" x14ac:dyDescent="0.3">
      <c r="A25" s="151"/>
      <c r="B25" s="140"/>
      <c r="C25" s="18"/>
      <c r="D25" s="150"/>
      <c r="E25" s="149">
        <v>23</v>
      </c>
      <c r="F25" s="16">
        <v>45996</v>
      </c>
      <c r="G25" s="47" t="s">
        <v>273</v>
      </c>
      <c r="H25" s="18">
        <v>116700000</v>
      </c>
      <c r="I25" s="150"/>
    </row>
    <row r="26" spans="1:9" ht="15.6" x14ac:dyDescent="0.3">
      <c r="A26" s="178"/>
      <c r="B26" s="179"/>
      <c r="C26" s="180"/>
      <c r="D26" s="182"/>
      <c r="E26" s="149">
        <v>24</v>
      </c>
      <c r="F26" s="16">
        <v>46008</v>
      </c>
      <c r="G26" s="47" t="s">
        <v>292</v>
      </c>
      <c r="H26" s="180">
        <v>110900000</v>
      </c>
      <c r="I26" s="181"/>
    </row>
    <row r="27" spans="1:9" ht="15.6" x14ac:dyDescent="0.3">
      <c r="A27" s="178"/>
      <c r="B27" s="179"/>
      <c r="C27" s="180"/>
      <c r="D27" s="182"/>
      <c r="E27" s="149">
        <v>25</v>
      </c>
      <c r="F27" s="16">
        <v>46017</v>
      </c>
      <c r="G27" s="47" t="s">
        <v>293</v>
      </c>
      <c r="H27" s="180">
        <v>141000000</v>
      </c>
      <c r="I27" s="181"/>
    </row>
    <row r="28" spans="1:9" ht="15.6" x14ac:dyDescent="0.3">
      <c r="A28" s="178"/>
      <c r="B28" s="179"/>
      <c r="C28" s="180"/>
      <c r="D28" s="182"/>
      <c r="E28" s="149">
        <v>26</v>
      </c>
      <c r="F28" s="16">
        <v>46029</v>
      </c>
      <c r="G28" s="47" t="s">
        <v>294</v>
      </c>
      <c r="H28" s="180">
        <v>225800000</v>
      </c>
      <c r="I28" s="181"/>
    </row>
    <row r="29" spans="1:9" ht="15.6" x14ac:dyDescent="0.3">
      <c r="A29" s="178"/>
      <c r="B29" s="179"/>
      <c r="C29" s="180"/>
      <c r="D29" s="182"/>
      <c r="E29" s="149">
        <v>27</v>
      </c>
      <c r="F29" s="16">
        <v>46039</v>
      </c>
      <c r="G29" s="47" t="s">
        <v>327</v>
      </c>
      <c r="H29" s="180">
        <v>106000000</v>
      </c>
      <c r="I29" s="181"/>
    </row>
    <row r="30" spans="1:9" ht="15.6" x14ac:dyDescent="0.3">
      <c r="A30" s="178"/>
      <c r="B30" s="179"/>
      <c r="C30" s="180"/>
      <c r="D30" s="182"/>
      <c r="E30" s="149">
        <v>28</v>
      </c>
      <c r="F30" s="16">
        <v>46049</v>
      </c>
      <c r="G30" s="47" t="s">
        <v>328</v>
      </c>
      <c r="H30" s="180">
        <v>85000000</v>
      </c>
      <c r="I30" s="181" t="s">
        <v>331</v>
      </c>
    </row>
    <row r="31" spans="1:9" ht="15.6" x14ac:dyDescent="0.3">
      <c r="A31" s="178"/>
      <c r="B31" s="179"/>
      <c r="C31" s="180"/>
      <c r="D31" s="182"/>
      <c r="E31" s="149">
        <v>29</v>
      </c>
      <c r="F31" s="16">
        <v>46060</v>
      </c>
      <c r="G31" s="47" t="s">
        <v>329</v>
      </c>
      <c r="H31" s="180">
        <f>224716800-40000000</f>
        <v>184716800</v>
      </c>
      <c r="I31" s="181" t="s">
        <v>332</v>
      </c>
    </row>
    <row r="32" spans="1:9" ht="15.6" x14ac:dyDescent="0.3">
      <c r="A32" s="178"/>
      <c r="B32" s="179"/>
      <c r="C32" s="180"/>
      <c r="D32" s="182"/>
      <c r="E32" s="149"/>
      <c r="F32" s="16">
        <v>46066</v>
      </c>
      <c r="G32" s="47" t="s">
        <v>334</v>
      </c>
      <c r="H32" s="180">
        <v>67000000</v>
      </c>
      <c r="I32" s="181" t="s">
        <v>335</v>
      </c>
    </row>
    <row r="33" spans="1:9" ht="15.6" x14ac:dyDescent="0.3">
      <c r="A33" s="178"/>
      <c r="B33" s="179"/>
      <c r="C33" s="180"/>
      <c r="D33" s="182"/>
      <c r="E33" s="149">
        <v>30</v>
      </c>
      <c r="F33" s="16">
        <v>46067</v>
      </c>
      <c r="G33" s="47" t="s">
        <v>330</v>
      </c>
      <c r="H33" s="180">
        <f>320965100-30000000</f>
        <v>290965100</v>
      </c>
      <c r="I33" s="181" t="s">
        <v>333</v>
      </c>
    </row>
    <row r="34" spans="1:9" ht="16.2" thickBot="1" x14ac:dyDescent="0.35">
      <c r="A34" s="456" t="s">
        <v>27</v>
      </c>
      <c r="B34" s="458"/>
      <c r="C34" s="152" t="e">
        <f>SUM(C3:C14)</f>
        <v>#REF!</v>
      </c>
      <c r="D34" s="153"/>
      <c r="E34" s="456" t="s">
        <v>27</v>
      </c>
      <c r="F34" s="457"/>
      <c r="G34" s="458"/>
      <c r="H34" s="152">
        <f>SUBTOTAL(109,H3:H33)</f>
        <v>2918981900</v>
      </c>
      <c r="I34" s="153"/>
    </row>
    <row r="37" spans="1:9" x14ac:dyDescent="0.3">
      <c r="H37" s="142" t="e">
        <f>H34-C34</f>
        <v>#REF!</v>
      </c>
    </row>
  </sheetData>
  <autoFilter ref="A2:I25"/>
  <mergeCells count="4">
    <mergeCell ref="E1:I1"/>
    <mergeCell ref="E34:G34"/>
    <mergeCell ref="A1:D1"/>
    <mergeCell ref="A34:B34"/>
  </mergeCells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9"/>
  <sheetViews>
    <sheetView workbookViewId="0">
      <pane xSplit="3" ySplit="4" topLeftCell="P5" activePane="bottomRight" state="frozen"/>
      <selection pane="topRight" activeCell="D1" sqref="D1"/>
      <selection pane="bottomLeft" activeCell="A5" sqref="A5"/>
      <selection pane="bottomRight" activeCell="C21" sqref="C21"/>
    </sheetView>
  </sheetViews>
  <sheetFormatPr defaultRowHeight="13.8" x14ac:dyDescent="0.25"/>
  <cols>
    <col min="1" max="1" width="4.5546875" style="65" bestFit="1" customWidth="1"/>
    <col min="2" max="3" width="8.88671875" style="65"/>
    <col min="4" max="13" width="0" style="56" hidden="1" customWidth="1"/>
    <col min="14" max="14" width="11.33203125" style="56" hidden="1" customWidth="1"/>
    <col min="15" max="15" width="9.77734375" style="56" hidden="1" customWidth="1"/>
    <col min="16" max="25" width="8.88671875" style="56"/>
    <col min="26" max="26" width="10.77734375" style="56" customWidth="1"/>
    <col min="27" max="27" width="8.88671875" style="56"/>
    <col min="28" max="28" width="9.109375" style="56" customWidth="1"/>
    <col min="29" max="38" width="9" style="56" customWidth="1"/>
    <col min="39" max="40" width="10.109375" style="56" customWidth="1"/>
    <col min="41" max="41" width="9.109375" style="56" bestFit="1" customWidth="1"/>
    <col min="42" max="51" width="9" style="56" bestFit="1" customWidth="1"/>
    <col min="52" max="52" width="10.109375" style="56" bestFit="1" customWidth="1"/>
    <col min="53" max="53" width="10.109375" style="56" customWidth="1"/>
    <col min="54" max="54" width="12.5546875" style="56" customWidth="1"/>
    <col min="55" max="55" width="12.21875" style="56" customWidth="1"/>
    <col min="56" max="16384" width="8.88671875" style="56"/>
  </cols>
  <sheetData>
    <row r="1" spans="1:55" ht="14.4" thickBot="1" x14ac:dyDescent="0.3"/>
    <row r="2" spans="1:55" s="59" customFormat="1" ht="14.4" customHeight="1" x14ac:dyDescent="0.25">
      <c r="A2" s="468" t="s">
        <v>0</v>
      </c>
      <c r="B2" s="470" t="s">
        <v>122</v>
      </c>
      <c r="C2" s="472" t="s">
        <v>123</v>
      </c>
      <c r="D2" s="474" t="s">
        <v>119</v>
      </c>
      <c r="E2" s="475"/>
      <c r="F2" s="475"/>
      <c r="G2" s="475"/>
      <c r="H2" s="475"/>
      <c r="I2" s="475"/>
      <c r="J2" s="475"/>
      <c r="K2" s="475"/>
      <c r="L2" s="475"/>
      <c r="M2" s="475"/>
      <c r="N2" s="475"/>
      <c r="O2" s="476"/>
      <c r="P2" s="477" t="s">
        <v>120</v>
      </c>
      <c r="Q2" s="478"/>
      <c r="R2" s="478"/>
      <c r="S2" s="478"/>
      <c r="T2" s="478"/>
      <c r="U2" s="478"/>
      <c r="V2" s="478"/>
      <c r="W2" s="478"/>
      <c r="X2" s="478"/>
      <c r="Y2" s="478"/>
      <c r="Z2" s="478"/>
      <c r="AA2" s="479"/>
      <c r="AB2" s="483" t="s">
        <v>142</v>
      </c>
      <c r="AC2" s="484"/>
      <c r="AD2" s="484"/>
      <c r="AE2" s="484"/>
      <c r="AF2" s="484"/>
      <c r="AG2" s="484"/>
      <c r="AH2" s="484"/>
      <c r="AI2" s="484"/>
      <c r="AJ2" s="484"/>
      <c r="AK2" s="484"/>
      <c r="AL2" s="484"/>
      <c r="AM2" s="484"/>
      <c r="AN2" s="484"/>
      <c r="AO2" s="480" t="s">
        <v>121</v>
      </c>
      <c r="AP2" s="481"/>
      <c r="AQ2" s="481"/>
      <c r="AR2" s="481"/>
      <c r="AS2" s="481"/>
      <c r="AT2" s="481"/>
      <c r="AU2" s="481"/>
      <c r="AV2" s="481"/>
      <c r="AW2" s="481"/>
      <c r="AX2" s="481"/>
      <c r="AY2" s="481"/>
      <c r="AZ2" s="481"/>
      <c r="BA2" s="481"/>
      <c r="BB2" s="481"/>
      <c r="BC2" s="482"/>
    </row>
    <row r="3" spans="1:55" s="64" customFormat="1" ht="34.200000000000003" customHeight="1" x14ac:dyDescent="0.3">
      <c r="A3" s="469"/>
      <c r="B3" s="471"/>
      <c r="C3" s="473"/>
      <c r="D3" s="97" t="s">
        <v>107</v>
      </c>
      <c r="E3" s="66" t="s">
        <v>108</v>
      </c>
      <c r="F3" s="66" t="s">
        <v>109</v>
      </c>
      <c r="G3" s="66" t="s">
        <v>110</v>
      </c>
      <c r="H3" s="66" t="s">
        <v>111</v>
      </c>
      <c r="I3" s="66" t="s">
        <v>112</v>
      </c>
      <c r="J3" s="66" t="s">
        <v>113</v>
      </c>
      <c r="K3" s="66" t="s">
        <v>114</v>
      </c>
      <c r="L3" s="66" t="s">
        <v>115</v>
      </c>
      <c r="M3" s="66" t="s">
        <v>116</v>
      </c>
      <c r="N3" s="66" t="s">
        <v>117</v>
      </c>
      <c r="O3" s="98" t="s">
        <v>118</v>
      </c>
      <c r="P3" s="105" t="s">
        <v>107</v>
      </c>
      <c r="Q3" s="69" t="s">
        <v>108</v>
      </c>
      <c r="R3" s="69" t="s">
        <v>109</v>
      </c>
      <c r="S3" s="69" t="s">
        <v>110</v>
      </c>
      <c r="T3" s="69" t="s">
        <v>111</v>
      </c>
      <c r="U3" s="69" t="s">
        <v>112</v>
      </c>
      <c r="V3" s="69" t="s">
        <v>113</v>
      </c>
      <c r="W3" s="69" t="s">
        <v>114</v>
      </c>
      <c r="X3" s="69" t="s">
        <v>115</v>
      </c>
      <c r="Y3" s="69" t="s">
        <v>116</v>
      </c>
      <c r="Z3" s="71" t="s">
        <v>117</v>
      </c>
      <c r="AA3" s="106" t="s">
        <v>118</v>
      </c>
      <c r="AB3" s="109" t="s">
        <v>107</v>
      </c>
      <c r="AC3" s="93" t="s">
        <v>108</v>
      </c>
      <c r="AD3" s="93" t="s">
        <v>109</v>
      </c>
      <c r="AE3" s="93" t="s">
        <v>110</v>
      </c>
      <c r="AF3" s="93" t="s">
        <v>111</v>
      </c>
      <c r="AG3" s="93" t="s">
        <v>112</v>
      </c>
      <c r="AH3" s="93" t="s">
        <v>113</v>
      </c>
      <c r="AI3" s="93" t="s">
        <v>114</v>
      </c>
      <c r="AJ3" s="93" t="s">
        <v>115</v>
      </c>
      <c r="AK3" s="93" t="s">
        <v>116</v>
      </c>
      <c r="AL3" s="94" t="s">
        <v>117</v>
      </c>
      <c r="AM3" s="94" t="s">
        <v>118</v>
      </c>
      <c r="AN3" s="94" t="s">
        <v>124</v>
      </c>
      <c r="AO3" s="97" t="s">
        <v>107</v>
      </c>
      <c r="AP3" s="66" t="s">
        <v>108</v>
      </c>
      <c r="AQ3" s="66" t="s">
        <v>109</v>
      </c>
      <c r="AR3" s="66" t="s">
        <v>110</v>
      </c>
      <c r="AS3" s="66" t="s">
        <v>111</v>
      </c>
      <c r="AT3" s="66" t="s">
        <v>112</v>
      </c>
      <c r="AU3" s="66" t="s">
        <v>113</v>
      </c>
      <c r="AV3" s="66" t="s">
        <v>114</v>
      </c>
      <c r="AW3" s="66" t="s">
        <v>115</v>
      </c>
      <c r="AX3" s="66" t="s">
        <v>116</v>
      </c>
      <c r="AY3" s="72" t="s">
        <v>117</v>
      </c>
      <c r="AZ3" s="72" t="s">
        <v>118</v>
      </c>
      <c r="BA3" s="72" t="s">
        <v>124</v>
      </c>
      <c r="BB3" s="66" t="s">
        <v>27</v>
      </c>
      <c r="BC3" s="98" t="s">
        <v>125</v>
      </c>
    </row>
    <row r="4" spans="1:55" s="64" customFormat="1" x14ac:dyDescent="0.3">
      <c r="A4" s="99">
        <f>SUBTOTAL(103,A5:A39)</f>
        <v>32</v>
      </c>
      <c r="B4" s="75">
        <f t="shared" ref="B4:BC4" si="0">SUBTOTAL(103,B5:B39)</f>
        <v>32</v>
      </c>
      <c r="C4" s="100">
        <f t="shared" si="0"/>
        <v>32</v>
      </c>
      <c r="D4" s="99">
        <f t="shared" si="0"/>
        <v>19</v>
      </c>
      <c r="E4" s="75">
        <f t="shared" si="0"/>
        <v>26</v>
      </c>
      <c r="F4" s="75">
        <f t="shared" si="0"/>
        <v>26</v>
      </c>
      <c r="G4" s="75">
        <f t="shared" si="0"/>
        <v>26</v>
      </c>
      <c r="H4" s="75">
        <f t="shared" si="0"/>
        <v>26</v>
      </c>
      <c r="I4" s="75">
        <f t="shared" si="0"/>
        <v>26</v>
      </c>
      <c r="J4" s="75">
        <f t="shared" si="0"/>
        <v>26</v>
      </c>
      <c r="K4" s="75">
        <f t="shared" si="0"/>
        <v>26</v>
      </c>
      <c r="L4" s="75">
        <f t="shared" si="0"/>
        <v>26</v>
      </c>
      <c r="M4" s="75">
        <f t="shared" si="0"/>
        <v>26</v>
      </c>
      <c r="N4" s="75">
        <f t="shared" si="0"/>
        <v>26</v>
      </c>
      <c r="O4" s="100">
        <f t="shared" si="0"/>
        <v>26</v>
      </c>
      <c r="P4" s="99">
        <f t="shared" si="0"/>
        <v>19</v>
      </c>
      <c r="Q4" s="75">
        <f t="shared" si="0"/>
        <v>26</v>
      </c>
      <c r="R4" s="75">
        <f t="shared" si="0"/>
        <v>26</v>
      </c>
      <c r="S4" s="75">
        <f t="shared" si="0"/>
        <v>26</v>
      </c>
      <c r="T4" s="75">
        <f t="shared" si="0"/>
        <v>17</v>
      </c>
      <c r="U4" s="75">
        <f t="shared" si="0"/>
        <v>17</v>
      </c>
      <c r="V4" s="75">
        <f t="shared" si="0"/>
        <v>26</v>
      </c>
      <c r="W4" s="75">
        <f t="shared" si="0"/>
        <v>26</v>
      </c>
      <c r="X4" s="75">
        <f t="shared" si="0"/>
        <v>26</v>
      </c>
      <c r="Y4" s="75">
        <f t="shared" si="0"/>
        <v>17</v>
      </c>
      <c r="Z4" s="75">
        <f t="shared" si="0"/>
        <v>17</v>
      </c>
      <c r="AA4" s="100">
        <f t="shared" si="0"/>
        <v>19</v>
      </c>
      <c r="AB4" s="110">
        <f t="shared" ref="AB4:AN4" si="1">SUBTOTAL(103,AB5:AB39)</f>
        <v>19</v>
      </c>
      <c r="AC4" s="95">
        <f t="shared" si="1"/>
        <v>24</v>
      </c>
      <c r="AD4" s="95">
        <f t="shared" si="1"/>
        <v>26</v>
      </c>
      <c r="AE4" s="95">
        <f t="shared" si="1"/>
        <v>22</v>
      </c>
      <c r="AF4" s="95">
        <f t="shared" si="1"/>
        <v>17</v>
      </c>
      <c r="AG4" s="95">
        <f t="shared" si="1"/>
        <v>17</v>
      </c>
      <c r="AH4" s="95">
        <f t="shared" si="1"/>
        <v>25</v>
      </c>
      <c r="AI4" s="95">
        <f t="shared" si="1"/>
        <v>25</v>
      </c>
      <c r="AJ4" s="95">
        <f t="shared" si="1"/>
        <v>25</v>
      </c>
      <c r="AK4" s="95">
        <f t="shared" si="1"/>
        <v>17</v>
      </c>
      <c r="AL4" s="95">
        <f t="shared" si="1"/>
        <v>17</v>
      </c>
      <c r="AM4" s="95">
        <f t="shared" si="1"/>
        <v>17</v>
      </c>
      <c r="AN4" s="95">
        <f t="shared" si="1"/>
        <v>17</v>
      </c>
      <c r="AO4" s="99">
        <f t="shared" si="0"/>
        <v>19</v>
      </c>
      <c r="AP4" s="75">
        <f t="shared" si="0"/>
        <v>24</v>
      </c>
      <c r="AQ4" s="75">
        <f t="shared" si="0"/>
        <v>26</v>
      </c>
      <c r="AR4" s="75">
        <f t="shared" si="0"/>
        <v>22</v>
      </c>
      <c r="AS4" s="75">
        <f t="shared" si="0"/>
        <v>17</v>
      </c>
      <c r="AT4" s="75">
        <f t="shared" si="0"/>
        <v>17</v>
      </c>
      <c r="AU4" s="75">
        <f t="shared" si="0"/>
        <v>22</v>
      </c>
      <c r="AV4" s="75">
        <f t="shared" si="0"/>
        <v>22</v>
      </c>
      <c r="AW4" s="75">
        <f t="shared" si="0"/>
        <v>22</v>
      </c>
      <c r="AX4" s="75">
        <f t="shared" si="0"/>
        <v>17</v>
      </c>
      <c r="AY4" s="75">
        <f t="shared" si="0"/>
        <v>17</v>
      </c>
      <c r="AZ4" s="75">
        <f t="shared" si="0"/>
        <v>17</v>
      </c>
      <c r="BA4" s="75">
        <f t="shared" si="0"/>
        <v>16</v>
      </c>
      <c r="BB4" s="75">
        <f t="shared" si="0"/>
        <v>27</v>
      </c>
      <c r="BC4" s="100">
        <f t="shared" si="0"/>
        <v>27</v>
      </c>
    </row>
    <row r="5" spans="1:55" x14ac:dyDescent="0.25">
      <c r="A5" s="103">
        <v>1</v>
      </c>
      <c r="B5" s="68" t="s">
        <v>103</v>
      </c>
      <c r="C5" s="104" t="s">
        <v>105</v>
      </c>
      <c r="D5" s="101" t="s">
        <v>9</v>
      </c>
      <c r="E5" s="67" t="s">
        <v>9</v>
      </c>
      <c r="F5" s="67" t="s">
        <v>9</v>
      </c>
      <c r="G5" s="67" t="s">
        <v>9</v>
      </c>
      <c r="H5" s="67" t="s">
        <v>9</v>
      </c>
      <c r="I5" s="67" t="s">
        <v>9</v>
      </c>
      <c r="J5" s="67" t="s">
        <v>9</v>
      </c>
      <c r="K5" s="67" t="s">
        <v>9</v>
      </c>
      <c r="L5" s="67" t="s">
        <v>9</v>
      </c>
      <c r="M5" s="67" t="s">
        <v>9</v>
      </c>
      <c r="N5" s="67" t="s">
        <v>9</v>
      </c>
      <c r="O5" s="102" t="s">
        <v>9</v>
      </c>
      <c r="P5" s="107" t="s">
        <v>9</v>
      </c>
      <c r="Q5" s="70" t="s">
        <v>9</v>
      </c>
      <c r="R5" s="70" t="s">
        <v>9</v>
      </c>
      <c r="S5" s="70" t="s">
        <v>9</v>
      </c>
      <c r="T5" s="70" t="s">
        <v>9</v>
      </c>
      <c r="U5" s="70" t="s">
        <v>9</v>
      </c>
      <c r="V5" s="70" t="s">
        <v>9</v>
      </c>
      <c r="W5" s="70" t="s">
        <v>9</v>
      </c>
      <c r="X5" s="70" t="s">
        <v>9</v>
      </c>
      <c r="Y5" s="70" t="s">
        <v>9</v>
      </c>
      <c r="Z5" s="70" t="s">
        <v>9</v>
      </c>
      <c r="AA5" s="108" t="s">
        <v>9</v>
      </c>
      <c r="AB5" s="111">
        <v>3800000</v>
      </c>
      <c r="AC5" s="96">
        <v>8100000</v>
      </c>
      <c r="AD5" s="96">
        <v>8100000</v>
      </c>
      <c r="AE5" s="96">
        <v>8200000</v>
      </c>
      <c r="AF5" s="96">
        <v>8200000</v>
      </c>
      <c r="AG5" s="96">
        <v>4200000</v>
      </c>
      <c r="AH5" s="96">
        <v>1000000</v>
      </c>
      <c r="AI5" s="96">
        <v>1500000</v>
      </c>
      <c r="AJ5" s="96">
        <v>1500000</v>
      </c>
      <c r="AK5" s="96">
        <v>3400000</v>
      </c>
      <c r="AL5" s="96">
        <v>3000000</v>
      </c>
      <c r="AM5" s="96">
        <v>25000000</v>
      </c>
      <c r="AN5" s="96">
        <v>4000000</v>
      </c>
      <c r="AO5" s="112">
        <v>3800000</v>
      </c>
      <c r="AP5" s="73">
        <v>8100000</v>
      </c>
      <c r="AQ5" s="73">
        <v>8100000</v>
      </c>
      <c r="AR5" s="73">
        <v>8200000</v>
      </c>
      <c r="AS5" s="73">
        <v>8200000</v>
      </c>
      <c r="AT5" s="73">
        <v>4200000</v>
      </c>
      <c r="AU5" s="73">
        <v>1000000</v>
      </c>
      <c r="AV5" s="73">
        <v>1500000</v>
      </c>
      <c r="AW5" s="73">
        <v>1500000</v>
      </c>
      <c r="AX5" s="73">
        <v>3400000</v>
      </c>
      <c r="AY5" s="73">
        <v>3000000</v>
      </c>
      <c r="AZ5" s="73">
        <v>25000000</v>
      </c>
      <c r="BA5" s="73">
        <v>4000000</v>
      </c>
      <c r="BB5" s="74">
        <f>SUM(AO5:BA5)</f>
        <v>80000000</v>
      </c>
      <c r="BC5" s="113">
        <f>85000000-BB5</f>
        <v>5000000</v>
      </c>
    </row>
    <row r="6" spans="1:55" x14ac:dyDescent="0.25">
      <c r="A6" s="103">
        <v>2</v>
      </c>
      <c r="B6" s="68" t="s">
        <v>103</v>
      </c>
      <c r="C6" s="104" t="s">
        <v>106</v>
      </c>
      <c r="D6" s="101" t="s">
        <v>9</v>
      </c>
      <c r="E6" s="67" t="s">
        <v>9</v>
      </c>
      <c r="F6" s="67" t="s">
        <v>9</v>
      </c>
      <c r="G6" s="67" t="s">
        <v>9</v>
      </c>
      <c r="H6" s="67" t="s">
        <v>9</v>
      </c>
      <c r="I6" s="67" t="s">
        <v>9</v>
      </c>
      <c r="J6" s="67" t="s">
        <v>9</v>
      </c>
      <c r="K6" s="67" t="s">
        <v>9</v>
      </c>
      <c r="L6" s="67" t="s">
        <v>9</v>
      </c>
      <c r="M6" s="67" t="s">
        <v>9</v>
      </c>
      <c r="N6" s="67" t="s">
        <v>9</v>
      </c>
      <c r="O6" s="102" t="s">
        <v>9</v>
      </c>
      <c r="P6" s="107" t="s">
        <v>9</v>
      </c>
      <c r="Q6" s="70" t="s">
        <v>9</v>
      </c>
      <c r="R6" s="70" t="s">
        <v>9</v>
      </c>
      <c r="S6" s="70" t="s">
        <v>9</v>
      </c>
      <c r="T6" s="70" t="s">
        <v>9</v>
      </c>
      <c r="U6" s="70" t="s">
        <v>9</v>
      </c>
      <c r="V6" s="70" t="s">
        <v>9</v>
      </c>
      <c r="W6" s="70" t="s">
        <v>9</v>
      </c>
      <c r="X6" s="70" t="s">
        <v>9</v>
      </c>
      <c r="Y6" s="70" t="s">
        <v>9</v>
      </c>
      <c r="Z6" s="70" t="s">
        <v>9</v>
      </c>
      <c r="AA6" s="108" t="s">
        <v>9</v>
      </c>
      <c r="AB6" s="111">
        <v>3800000</v>
      </c>
      <c r="AC6" s="96">
        <v>8100000</v>
      </c>
      <c r="AD6" s="96">
        <v>8100000</v>
      </c>
      <c r="AE6" s="96">
        <v>8200000</v>
      </c>
      <c r="AF6" s="96">
        <v>8200000</v>
      </c>
      <c r="AG6" s="96">
        <v>4200000</v>
      </c>
      <c r="AH6" s="96">
        <v>1000000</v>
      </c>
      <c r="AI6" s="96">
        <v>1500000</v>
      </c>
      <c r="AJ6" s="96">
        <v>1500000</v>
      </c>
      <c r="AK6" s="96">
        <v>3400000</v>
      </c>
      <c r="AL6" s="96">
        <v>3000000</v>
      </c>
      <c r="AM6" s="96">
        <v>25000000</v>
      </c>
      <c r="AN6" s="96">
        <v>4000000</v>
      </c>
      <c r="AO6" s="112">
        <v>3800000</v>
      </c>
      <c r="AP6" s="73">
        <v>8100000</v>
      </c>
      <c r="AQ6" s="73">
        <v>8100000</v>
      </c>
      <c r="AR6" s="73">
        <v>8200000</v>
      </c>
      <c r="AS6" s="73">
        <v>8200000</v>
      </c>
      <c r="AT6" s="73">
        <v>4200000</v>
      </c>
      <c r="AU6" s="73">
        <v>1000000</v>
      </c>
      <c r="AV6" s="73">
        <v>1500000</v>
      </c>
      <c r="AW6" s="73">
        <v>1500000</v>
      </c>
      <c r="AX6" s="73">
        <v>3400000</v>
      </c>
      <c r="AY6" s="73">
        <v>3000000</v>
      </c>
      <c r="AZ6" s="73">
        <v>25000000</v>
      </c>
      <c r="BA6" s="73">
        <v>4000000</v>
      </c>
      <c r="BB6" s="74">
        <f>SUM(AO6:BA6)</f>
        <v>80000000</v>
      </c>
      <c r="BC6" s="113">
        <f>85000000-BB6</f>
        <v>5000000</v>
      </c>
    </row>
    <row r="7" spans="1:55" x14ac:dyDescent="0.25">
      <c r="A7" s="103">
        <v>3</v>
      </c>
      <c r="B7" s="68" t="s">
        <v>104</v>
      </c>
      <c r="C7" s="104" t="s">
        <v>160</v>
      </c>
      <c r="D7" s="101" t="s">
        <v>9</v>
      </c>
      <c r="E7" s="67" t="s">
        <v>9</v>
      </c>
      <c r="F7" s="67" t="s">
        <v>9</v>
      </c>
      <c r="G7" s="67" t="s">
        <v>9</v>
      </c>
      <c r="H7" s="67" t="s">
        <v>9</v>
      </c>
      <c r="I7" s="67" t="s">
        <v>9</v>
      </c>
      <c r="J7" s="67" t="s">
        <v>9</v>
      </c>
      <c r="K7" s="67" t="s">
        <v>9</v>
      </c>
      <c r="L7" s="67" t="s">
        <v>9</v>
      </c>
      <c r="M7" s="67" t="s">
        <v>9</v>
      </c>
      <c r="N7" s="67" t="s">
        <v>9</v>
      </c>
      <c r="O7" s="102" t="s">
        <v>9</v>
      </c>
      <c r="P7" s="107" t="s">
        <v>9</v>
      </c>
      <c r="Q7" s="70" t="s">
        <v>9</v>
      </c>
      <c r="R7" s="70" t="s">
        <v>9</v>
      </c>
      <c r="S7" s="70" t="s">
        <v>9</v>
      </c>
      <c r="T7" s="70" t="s">
        <v>9</v>
      </c>
      <c r="U7" s="70" t="s">
        <v>9</v>
      </c>
      <c r="V7" s="70" t="s">
        <v>9</v>
      </c>
      <c r="W7" s="70" t="s">
        <v>9</v>
      </c>
      <c r="X7" s="70" t="s">
        <v>9</v>
      </c>
      <c r="Y7" s="70" t="s">
        <v>9</v>
      </c>
      <c r="Z7" s="70" t="s">
        <v>9</v>
      </c>
      <c r="AA7" s="108" t="s">
        <v>9</v>
      </c>
      <c r="AB7" s="111">
        <v>3800000</v>
      </c>
      <c r="AC7" s="96">
        <v>8100000</v>
      </c>
      <c r="AD7" s="96">
        <v>8100000</v>
      </c>
      <c r="AE7" s="96">
        <v>8200000</v>
      </c>
      <c r="AF7" s="96">
        <v>8200000</v>
      </c>
      <c r="AG7" s="96">
        <v>4200000</v>
      </c>
      <c r="AH7" s="96">
        <v>1000000</v>
      </c>
      <c r="AI7" s="96">
        <v>1500000</v>
      </c>
      <c r="AJ7" s="96">
        <v>1500000</v>
      </c>
      <c r="AK7" s="96">
        <v>3400000</v>
      </c>
      <c r="AL7" s="96">
        <v>3000000</v>
      </c>
      <c r="AM7" s="96">
        <v>25000000</v>
      </c>
      <c r="AN7" s="96">
        <v>4000000</v>
      </c>
      <c r="AO7" s="112">
        <v>3800000</v>
      </c>
      <c r="AP7" s="73">
        <v>8100000</v>
      </c>
      <c r="AQ7" s="73">
        <v>8100000</v>
      </c>
      <c r="AR7" s="73">
        <v>8200000</v>
      </c>
      <c r="AS7" s="73">
        <v>8200000</v>
      </c>
      <c r="AT7" s="73">
        <v>4200000</v>
      </c>
      <c r="AU7" s="73">
        <v>1000000</v>
      </c>
      <c r="AV7" s="73">
        <v>1500000</v>
      </c>
      <c r="AW7" s="73">
        <v>1500000</v>
      </c>
      <c r="AX7" s="73">
        <v>3400000</v>
      </c>
      <c r="AY7" s="73">
        <v>3000000</v>
      </c>
      <c r="AZ7" s="73">
        <v>25000000</v>
      </c>
      <c r="BA7" s="73">
        <f>AN7</f>
        <v>4000000</v>
      </c>
      <c r="BB7" s="74">
        <f t="shared" ref="BB7:BB20" si="2">SUM(AO7:BA7)</f>
        <v>80000000</v>
      </c>
      <c r="BC7" s="113">
        <f t="shared" ref="BC7:BC14" si="3">85000000-BB7</f>
        <v>5000000</v>
      </c>
    </row>
    <row r="8" spans="1:55" x14ac:dyDescent="0.25">
      <c r="A8" s="103">
        <v>4</v>
      </c>
      <c r="B8" s="68" t="s">
        <v>104</v>
      </c>
      <c r="C8" s="104" t="s">
        <v>161</v>
      </c>
      <c r="D8" s="101" t="s">
        <v>9</v>
      </c>
      <c r="E8" s="67" t="s">
        <v>9</v>
      </c>
      <c r="F8" s="67" t="s">
        <v>9</v>
      </c>
      <c r="G8" s="67" t="s">
        <v>9</v>
      </c>
      <c r="H8" s="67" t="s">
        <v>9</v>
      </c>
      <c r="I8" s="67" t="s">
        <v>9</v>
      </c>
      <c r="J8" s="67" t="s">
        <v>9</v>
      </c>
      <c r="K8" s="67" t="s">
        <v>9</v>
      </c>
      <c r="L8" s="67" t="s">
        <v>9</v>
      </c>
      <c r="M8" s="67" t="s">
        <v>9</v>
      </c>
      <c r="N8" s="67" t="s">
        <v>9</v>
      </c>
      <c r="O8" s="102" t="s">
        <v>9</v>
      </c>
      <c r="P8" s="107" t="s">
        <v>9</v>
      </c>
      <c r="Q8" s="70" t="s">
        <v>9</v>
      </c>
      <c r="R8" s="70" t="s">
        <v>9</v>
      </c>
      <c r="S8" s="70" t="s">
        <v>9</v>
      </c>
      <c r="T8" s="70" t="s">
        <v>9</v>
      </c>
      <c r="U8" s="70" t="s">
        <v>9</v>
      </c>
      <c r="V8" s="70" t="s">
        <v>9</v>
      </c>
      <c r="W8" s="70" t="s">
        <v>9</v>
      </c>
      <c r="X8" s="70" t="s">
        <v>9</v>
      </c>
      <c r="Y8" s="70" t="s">
        <v>9</v>
      </c>
      <c r="Z8" s="70" t="s">
        <v>9</v>
      </c>
      <c r="AA8" s="108" t="s">
        <v>9</v>
      </c>
      <c r="AB8" s="111">
        <v>3800000</v>
      </c>
      <c r="AC8" s="96">
        <v>8100000</v>
      </c>
      <c r="AD8" s="96">
        <v>8100000</v>
      </c>
      <c r="AE8" s="96">
        <v>8200000</v>
      </c>
      <c r="AF8" s="96">
        <v>8200000</v>
      </c>
      <c r="AG8" s="96">
        <v>4200000</v>
      </c>
      <c r="AH8" s="96">
        <v>1000000</v>
      </c>
      <c r="AI8" s="96">
        <v>1500000</v>
      </c>
      <c r="AJ8" s="96">
        <v>1500000</v>
      </c>
      <c r="AK8" s="96">
        <v>3400000</v>
      </c>
      <c r="AL8" s="96">
        <v>3000000</v>
      </c>
      <c r="AM8" s="96">
        <v>25000000</v>
      </c>
      <c r="AN8" s="96">
        <v>4000000</v>
      </c>
      <c r="AO8" s="112">
        <v>3800000</v>
      </c>
      <c r="AP8" s="73">
        <v>8100000</v>
      </c>
      <c r="AQ8" s="73">
        <v>8100000</v>
      </c>
      <c r="AR8" s="73">
        <v>8200000</v>
      </c>
      <c r="AS8" s="73">
        <v>8200000</v>
      </c>
      <c r="AT8" s="73">
        <v>4200000</v>
      </c>
      <c r="AU8" s="73">
        <v>1000000</v>
      </c>
      <c r="AV8" s="73">
        <v>1500000</v>
      </c>
      <c r="AW8" s="73">
        <v>1500000</v>
      </c>
      <c r="AX8" s="73">
        <v>3400000</v>
      </c>
      <c r="AY8" s="73">
        <v>3000000</v>
      </c>
      <c r="AZ8" s="73">
        <v>25000000</v>
      </c>
      <c r="BA8" s="73">
        <f t="shared" ref="BA8:BA14" si="4">AN8</f>
        <v>4000000</v>
      </c>
      <c r="BB8" s="74">
        <f t="shared" si="2"/>
        <v>80000000</v>
      </c>
      <c r="BC8" s="113">
        <f t="shared" si="3"/>
        <v>5000000</v>
      </c>
    </row>
    <row r="9" spans="1:55" x14ac:dyDescent="0.25">
      <c r="A9" s="103">
        <v>5</v>
      </c>
      <c r="B9" s="68" t="s">
        <v>104</v>
      </c>
      <c r="C9" s="104" t="s">
        <v>159</v>
      </c>
      <c r="D9" s="101" t="s">
        <v>9</v>
      </c>
      <c r="E9" s="67" t="s">
        <v>9</v>
      </c>
      <c r="F9" s="67" t="s">
        <v>9</v>
      </c>
      <c r="G9" s="67" t="s">
        <v>9</v>
      </c>
      <c r="H9" s="67" t="s">
        <v>9</v>
      </c>
      <c r="I9" s="67" t="s">
        <v>9</v>
      </c>
      <c r="J9" s="67" t="s">
        <v>9</v>
      </c>
      <c r="K9" s="67" t="s">
        <v>9</v>
      </c>
      <c r="L9" s="67" t="s">
        <v>9</v>
      </c>
      <c r="M9" s="67" t="s">
        <v>9</v>
      </c>
      <c r="N9" s="67" t="s">
        <v>9</v>
      </c>
      <c r="O9" s="102" t="s">
        <v>9</v>
      </c>
      <c r="P9" s="107" t="s">
        <v>9</v>
      </c>
      <c r="Q9" s="70" t="s">
        <v>9</v>
      </c>
      <c r="R9" s="70" t="s">
        <v>9</v>
      </c>
      <c r="S9" s="70" t="s">
        <v>9</v>
      </c>
      <c r="T9" s="70" t="s">
        <v>9</v>
      </c>
      <c r="U9" s="70" t="s">
        <v>9</v>
      </c>
      <c r="V9" s="70" t="s">
        <v>9</v>
      </c>
      <c r="W9" s="70" t="s">
        <v>9</v>
      </c>
      <c r="X9" s="70" t="s">
        <v>9</v>
      </c>
      <c r="Y9" s="70" t="s">
        <v>9</v>
      </c>
      <c r="Z9" s="70" t="s">
        <v>9</v>
      </c>
      <c r="AA9" s="108" t="s">
        <v>9</v>
      </c>
      <c r="AB9" s="111">
        <v>3800000</v>
      </c>
      <c r="AC9" s="96">
        <v>8100000</v>
      </c>
      <c r="AD9" s="96">
        <v>8100000</v>
      </c>
      <c r="AE9" s="96">
        <v>8200000</v>
      </c>
      <c r="AF9" s="96">
        <v>8200000</v>
      </c>
      <c r="AG9" s="96">
        <v>4200000</v>
      </c>
      <c r="AH9" s="96">
        <v>1000000</v>
      </c>
      <c r="AI9" s="96">
        <v>1500000</v>
      </c>
      <c r="AJ9" s="96">
        <v>1500000</v>
      </c>
      <c r="AK9" s="96">
        <v>3400000</v>
      </c>
      <c r="AL9" s="96">
        <v>3000000</v>
      </c>
      <c r="AM9" s="96">
        <v>25000000</v>
      </c>
      <c r="AN9" s="96">
        <v>4000000</v>
      </c>
      <c r="AO9" s="112">
        <v>3800000</v>
      </c>
      <c r="AP9" s="73">
        <v>8100000</v>
      </c>
      <c r="AQ9" s="73">
        <v>8100000</v>
      </c>
      <c r="AR9" s="73">
        <v>8200000</v>
      </c>
      <c r="AS9" s="73">
        <v>8200000</v>
      </c>
      <c r="AT9" s="73">
        <v>4200000</v>
      </c>
      <c r="AU9" s="73">
        <v>1000000</v>
      </c>
      <c r="AV9" s="73">
        <v>1500000</v>
      </c>
      <c r="AW9" s="73">
        <v>1500000</v>
      </c>
      <c r="AX9" s="73">
        <v>3400000</v>
      </c>
      <c r="AY9" s="73">
        <v>3000000</v>
      </c>
      <c r="AZ9" s="73">
        <v>25000000</v>
      </c>
      <c r="BA9" s="73">
        <f t="shared" si="4"/>
        <v>4000000</v>
      </c>
      <c r="BB9" s="74">
        <f t="shared" si="2"/>
        <v>80000000</v>
      </c>
      <c r="BC9" s="113">
        <f t="shared" si="3"/>
        <v>5000000</v>
      </c>
    </row>
    <row r="10" spans="1:55" x14ac:dyDescent="0.25">
      <c r="A10" s="103">
        <v>6</v>
      </c>
      <c r="B10" s="68" t="s">
        <v>104</v>
      </c>
      <c r="C10" s="104" t="s">
        <v>158</v>
      </c>
      <c r="D10" s="101" t="s">
        <v>9</v>
      </c>
      <c r="E10" s="67" t="s">
        <v>9</v>
      </c>
      <c r="F10" s="67" t="s">
        <v>9</v>
      </c>
      <c r="G10" s="67" t="s">
        <v>9</v>
      </c>
      <c r="H10" s="67" t="s">
        <v>9</v>
      </c>
      <c r="I10" s="67" t="s">
        <v>9</v>
      </c>
      <c r="J10" s="67" t="s">
        <v>9</v>
      </c>
      <c r="K10" s="67" t="s">
        <v>9</v>
      </c>
      <c r="L10" s="67" t="s">
        <v>9</v>
      </c>
      <c r="M10" s="67" t="s">
        <v>9</v>
      </c>
      <c r="N10" s="67" t="s">
        <v>9</v>
      </c>
      <c r="O10" s="102" t="s">
        <v>9</v>
      </c>
      <c r="P10" s="107" t="s">
        <v>9</v>
      </c>
      <c r="Q10" s="70" t="s">
        <v>9</v>
      </c>
      <c r="R10" s="70" t="s">
        <v>9</v>
      </c>
      <c r="S10" s="70" t="s">
        <v>9</v>
      </c>
      <c r="T10" s="70" t="s">
        <v>9</v>
      </c>
      <c r="U10" s="70" t="s">
        <v>9</v>
      </c>
      <c r="V10" s="70" t="s">
        <v>9</v>
      </c>
      <c r="W10" s="70" t="s">
        <v>9</v>
      </c>
      <c r="X10" s="70" t="s">
        <v>9</v>
      </c>
      <c r="Y10" s="70" t="s">
        <v>9</v>
      </c>
      <c r="Z10" s="70" t="s">
        <v>9</v>
      </c>
      <c r="AA10" s="108" t="s">
        <v>9</v>
      </c>
      <c r="AB10" s="111">
        <v>3800000</v>
      </c>
      <c r="AC10" s="96">
        <v>8100000</v>
      </c>
      <c r="AD10" s="96">
        <v>8100000</v>
      </c>
      <c r="AE10" s="96">
        <v>8200000</v>
      </c>
      <c r="AF10" s="96">
        <v>8200000</v>
      </c>
      <c r="AG10" s="96">
        <v>4200000</v>
      </c>
      <c r="AH10" s="96">
        <v>1000000</v>
      </c>
      <c r="AI10" s="96">
        <v>1500000</v>
      </c>
      <c r="AJ10" s="96">
        <v>1500000</v>
      </c>
      <c r="AK10" s="96">
        <v>3400000</v>
      </c>
      <c r="AL10" s="96">
        <v>3000000</v>
      </c>
      <c r="AM10" s="96">
        <v>25000000</v>
      </c>
      <c r="AN10" s="96">
        <v>4000000</v>
      </c>
      <c r="AO10" s="112">
        <v>3800000</v>
      </c>
      <c r="AP10" s="73">
        <v>8100000</v>
      </c>
      <c r="AQ10" s="73">
        <v>8100000</v>
      </c>
      <c r="AR10" s="73">
        <v>8200000</v>
      </c>
      <c r="AS10" s="73">
        <v>8200000</v>
      </c>
      <c r="AT10" s="73">
        <v>4200000</v>
      </c>
      <c r="AU10" s="73">
        <v>1000000</v>
      </c>
      <c r="AV10" s="73">
        <v>1500000</v>
      </c>
      <c r="AW10" s="73">
        <v>1500000</v>
      </c>
      <c r="AX10" s="73">
        <v>3400000</v>
      </c>
      <c r="AY10" s="73">
        <v>3000000</v>
      </c>
      <c r="AZ10" s="73">
        <v>25000000</v>
      </c>
      <c r="BA10" s="73">
        <f t="shared" si="4"/>
        <v>4000000</v>
      </c>
      <c r="BB10" s="74">
        <f t="shared" si="2"/>
        <v>80000000</v>
      </c>
      <c r="BC10" s="113">
        <f t="shared" si="3"/>
        <v>5000000</v>
      </c>
    </row>
    <row r="11" spans="1:55" x14ac:dyDescent="0.25">
      <c r="A11" s="103">
        <v>7</v>
      </c>
      <c r="B11" s="68" t="s">
        <v>104</v>
      </c>
      <c r="C11" s="104" t="s">
        <v>157</v>
      </c>
      <c r="D11" s="101" t="s">
        <v>9</v>
      </c>
      <c r="E11" s="67" t="s">
        <v>9</v>
      </c>
      <c r="F11" s="67" t="s">
        <v>9</v>
      </c>
      <c r="G11" s="67" t="s">
        <v>9</v>
      </c>
      <c r="H11" s="67" t="s">
        <v>9</v>
      </c>
      <c r="I11" s="67" t="s">
        <v>9</v>
      </c>
      <c r="J11" s="67" t="s">
        <v>9</v>
      </c>
      <c r="K11" s="67" t="s">
        <v>9</v>
      </c>
      <c r="L11" s="67" t="s">
        <v>9</v>
      </c>
      <c r="M11" s="67" t="s">
        <v>9</v>
      </c>
      <c r="N11" s="67" t="s">
        <v>9</v>
      </c>
      <c r="O11" s="102" t="s">
        <v>9</v>
      </c>
      <c r="P11" s="107" t="s">
        <v>9</v>
      </c>
      <c r="Q11" s="70" t="s">
        <v>9</v>
      </c>
      <c r="R11" s="70" t="s">
        <v>9</v>
      </c>
      <c r="S11" s="70" t="s">
        <v>9</v>
      </c>
      <c r="T11" s="70" t="s">
        <v>9</v>
      </c>
      <c r="U11" s="70" t="s">
        <v>9</v>
      </c>
      <c r="V11" s="70" t="s">
        <v>9</v>
      </c>
      <c r="W11" s="70" t="s">
        <v>9</v>
      </c>
      <c r="X11" s="70" t="s">
        <v>9</v>
      </c>
      <c r="Y11" s="70" t="s">
        <v>9</v>
      </c>
      <c r="Z11" s="70" t="s">
        <v>9</v>
      </c>
      <c r="AA11" s="108" t="s">
        <v>9</v>
      </c>
      <c r="AB11" s="111">
        <v>3800000</v>
      </c>
      <c r="AC11" s="96">
        <v>8100000</v>
      </c>
      <c r="AD11" s="96">
        <v>8100000</v>
      </c>
      <c r="AE11" s="96">
        <v>8200000</v>
      </c>
      <c r="AF11" s="96">
        <v>8200000</v>
      </c>
      <c r="AG11" s="96">
        <v>4200000</v>
      </c>
      <c r="AH11" s="96">
        <v>1000000</v>
      </c>
      <c r="AI11" s="96">
        <v>1500000</v>
      </c>
      <c r="AJ11" s="96">
        <v>1500000</v>
      </c>
      <c r="AK11" s="96">
        <v>3400000</v>
      </c>
      <c r="AL11" s="96">
        <v>3000000</v>
      </c>
      <c r="AM11" s="96">
        <v>25000000</v>
      </c>
      <c r="AN11" s="96">
        <v>4000000</v>
      </c>
      <c r="AO11" s="112">
        <v>3800000</v>
      </c>
      <c r="AP11" s="73">
        <v>8100000</v>
      </c>
      <c r="AQ11" s="73">
        <v>8100000</v>
      </c>
      <c r="AR11" s="73">
        <v>8200000</v>
      </c>
      <c r="AS11" s="73">
        <v>8200000</v>
      </c>
      <c r="AT11" s="73">
        <v>4200000</v>
      </c>
      <c r="AU11" s="73">
        <v>1000000</v>
      </c>
      <c r="AV11" s="73">
        <v>1500000</v>
      </c>
      <c r="AW11" s="73">
        <v>1500000</v>
      </c>
      <c r="AX11" s="73">
        <v>3400000</v>
      </c>
      <c r="AY11" s="73">
        <v>3000000</v>
      </c>
      <c r="AZ11" s="73">
        <v>25000000</v>
      </c>
      <c r="BA11" s="73">
        <f t="shared" si="4"/>
        <v>4000000</v>
      </c>
      <c r="BB11" s="74">
        <f t="shared" si="2"/>
        <v>80000000</v>
      </c>
      <c r="BC11" s="113">
        <f t="shared" si="3"/>
        <v>5000000</v>
      </c>
    </row>
    <row r="12" spans="1:55" x14ac:dyDescent="0.25">
      <c r="A12" s="103">
        <v>8</v>
      </c>
      <c r="B12" s="68" t="s">
        <v>104</v>
      </c>
      <c r="C12" s="104" t="s">
        <v>156</v>
      </c>
      <c r="D12" s="101" t="s">
        <v>9</v>
      </c>
      <c r="E12" s="67" t="s">
        <v>9</v>
      </c>
      <c r="F12" s="67" t="s">
        <v>9</v>
      </c>
      <c r="G12" s="67" t="s">
        <v>9</v>
      </c>
      <c r="H12" s="67" t="s">
        <v>9</v>
      </c>
      <c r="I12" s="67" t="s">
        <v>9</v>
      </c>
      <c r="J12" s="67" t="s">
        <v>9</v>
      </c>
      <c r="K12" s="67" t="s">
        <v>9</v>
      </c>
      <c r="L12" s="67" t="s">
        <v>9</v>
      </c>
      <c r="M12" s="67" t="s">
        <v>9</v>
      </c>
      <c r="N12" s="67" t="s">
        <v>9</v>
      </c>
      <c r="O12" s="102" t="s">
        <v>9</v>
      </c>
      <c r="P12" s="107" t="s">
        <v>9</v>
      </c>
      <c r="Q12" s="70" t="s">
        <v>9</v>
      </c>
      <c r="R12" s="70" t="s">
        <v>9</v>
      </c>
      <c r="S12" s="70" t="s">
        <v>9</v>
      </c>
      <c r="T12" s="70" t="s">
        <v>9</v>
      </c>
      <c r="U12" s="70" t="s">
        <v>9</v>
      </c>
      <c r="V12" s="70" t="s">
        <v>9</v>
      </c>
      <c r="W12" s="70" t="s">
        <v>9</v>
      </c>
      <c r="X12" s="70" t="s">
        <v>9</v>
      </c>
      <c r="Y12" s="70" t="s">
        <v>9</v>
      </c>
      <c r="Z12" s="70" t="s">
        <v>9</v>
      </c>
      <c r="AA12" s="108" t="s">
        <v>9</v>
      </c>
      <c r="AB12" s="111">
        <v>3800000</v>
      </c>
      <c r="AC12" s="96">
        <v>8100000</v>
      </c>
      <c r="AD12" s="96">
        <v>8100000</v>
      </c>
      <c r="AE12" s="96">
        <v>8200000</v>
      </c>
      <c r="AF12" s="96">
        <v>8200000</v>
      </c>
      <c r="AG12" s="96">
        <v>4200000</v>
      </c>
      <c r="AH12" s="96">
        <v>1000000</v>
      </c>
      <c r="AI12" s="96">
        <v>1500000</v>
      </c>
      <c r="AJ12" s="96">
        <v>1500000</v>
      </c>
      <c r="AK12" s="96">
        <v>3400000</v>
      </c>
      <c r="AL12" s="96">
        <v>3000000</v>
      </c>
      <c r="AM12" s="96">
        <v>25000000</v>
      </c>
      <c r="AN12" s="96">
        <v>4000000</v>
      </c>
      <c r="AO12" s="112">
        <v>3800000</v>
      </c>
      <c r="AP12" s="73">
        <v>8100000</v>
      </c>
      <c r="AQ12" s="73">
        <v>8100000</v>
      </c>
      <c r="AR12" s="73">
        <v>8200000</v>
      </c>
      <c r="AS12" s="73">
        <v>8200000</v>
      </c>
      <c r="AT12" s="73">
        <v>4200000</v>
      </c>
      <c r="AU12" s="73">
        <v>1000000</v>
      </c>
      <c r="AV12" s="73">
        <v>1500000</v>
      </c>
      <c r="AW12" s="73">
        <v>1500000</v>
      </c>
      <c r="AX12" s="73">
        <v>3400000</v>
      </c>
      <c r="AY12" s="73">
        <v>3000000</v>
      </c>
      <c r="AZ12" s="73">
        <v>25000000</v>
      </c>
      <c r="BA12" s="73">
        <f t="shared" si="4"/>
        <v>4000000</v>
      </c>
      <c r="BB12" s="74">
        <f t="shared" si="2"/>
        <v>80000000</v>
      </c>
      <c r="BC12" s="113">
        <f t="shared" si="3"/>
        <v>5000000</v>
      </c>
    </row>
    <row r="13" spans="1:55" x14ac:dyDescent="0.25">
      <c r="A13" s="103">
        <v>9</v>
      </c>
      <c r="B13" s="68" t="s">
        <v>104</v>
      </c>
      <c r="C13" s="104" t="s">
        <v>155</v>
      </c>
      <c r="D13" s="101" t="s">
        <v>9</v>
      </c>
      <c r="E13" s="67" t="s">
        <v>9</v>
      </c>
      <c r="F13" s="67" t="s">
        <v>9</v>
      </c>
      <c r="G13" s="67" t="s">
        <v>9</v>
      </c>
      <c r="H13" s="67" t="s">
        <v>9</v>
      </c>
      <c r="I13" s="67" t="s">
        <v>9</v>
      </c>
      <c r="J13" s="67" t="s">
        <v>9</v>
      </c>
      <c r="K13" s="67" t="s">
        <v>9</v>
      </c>
      <c r="L13" s="67" t="s">
        <v>9</v>
      </c>
      <c r="M13" s="67" t="s">
        <v>9</v>
      </c>
      <c r="N13" s="67" t="s">
        <v>9</v>
      </c>
      <c r="O13" s="102" t="s">
        <v>9</v>
      </c>
      <c r="P13" s="107" t="s">
        <v>9</v>
      </c>
      <c r="Q13" s="70" t="s">
        <v>9</v>
      </c>
      <c r="R13" s="70" t="s">
        <v>9</v>
      </c>
      <c r="S13" s="70" t="s">
        <v>9</v>
      </c>
      <c r="T13" s="70" t="s">
        <v>9</v>
      </c>
      <c r="U13" s="70" t="s">
        <v>9</v>
      </c>
      <c r="V13" s="70" t="s">
        <v>9</v>
      </c>
      <c r="W13" s="70" t="s">
        <v>9</v>
      </c>
      <c r="X13" s="70" t="s">
        <v>9</v>
      </c>
      <c r="Y13" s="70" t="s">
        <v>9</v>
      </c>
      <c r="Z13" s="70" t="s">
        <v>9</v>
      </c>
      <c r="AA13" s="108" t="s">
        <v>9</v>
      </c>
      <c r="AB13" s="111">
        <v>3800000</v>
      </c>
      <c r="AC13" s="96">
        <v>8100000</v>
      </c>
      <c r="AD13" s="96">
        <v>8100000</v>
      </c>
      <c r="AE13" s="96">
        <v>8200000</v>
      </c>
      <c r="AF13" s="96">
        <v>8200000</v>
      </c>
      <c r="AG13" s="96">
        <v>4200000</v>
      </c>
      <c r="AH13" s="96">
        <v>1000000</v>
      </c>
      <c r="AI13" s="96">
        <v>1500000</v>
      </c>
      <c r="AJ13" s="96">
        <v>1500000</v>
      </c>
      <c r="AK13" s="96">
        <v>3400000</v>
      </c>
      <c r="AL13" s="96">
        <v>3000000</v>
      </c>
      <c r="AM13" s="96">
        <v>25000000</v>
      </c>
      <c r="AN13" s="96">
        <v>4000000</v>
      </c>
      <c r="AO13" s="112">
        <v>3800000</v>
      </c>
      <c r="AP13" s="73">
        <v>8100000</v>
      </c>
      <c r="AQ13" s="73">
        <v>8100000</v>
      </c>
      <c r="AR13" s="73">
        <v>8200000</v>
      </c>
      <c r="AS13" s="73">
        <v>8200000</v>
      </c>
      <c r="AT13" s="73">
        <v>4200000</v>
      </c>
      <c r="AU13" s="73">
        <v>1000000</v>
      </c>
      <c r="AV13" s="73">
        <v>1500000</v>
      </c>
      <c r="AW13" s="73">
        <v>1500000</v>
      </c>
      <c r="AX13" s="73">
        <v>3400000</v>
      </c>
      <c r="AY13" s="73">
        <v>3000000</v>
      </c>
      <c r="AZ13" s="73">
        <v>25000000</v>
      </c>
      <c r="BA13" s="73">
        <f t="shared" si="4"/>
        <v>4000000</v>
      </c>
      <c r="BB13" s="74">
        <f t="shared" si="2"/>
        <v>80000000</v>
      </c>
      <c r="BC13" s="113">
        <f t="shared" si="3"/>
        <v>5000000</v>
      </c>
    </row>
    <row r="14" spans="1:55" x14ac:dyDescent="0.25">
      <c r="A14" s="103">
        <v>10</v>
      </c>
      <c r="B14" s="68" t="s">
        <v>104</v>
      </c>
      <c r="C14" s="104" t="s">
        <v>154</v>
      </c>
      <c r="D14" s="101" t="s">
        <v>9</v>
      </c>
      <c r="E14" s="67" t="s">
        <v>9</v>
      </c>
      <c r="F14" s="67" t="s">
        <v>9</v>
      </c>
      <c r="G14" s="67" t="s">
        <v>9</v>
      </c>
      <c r="H14" s="67" t="s">
        <v>9</v>
      </c>
      <c r="I14" s="67" t="s">
        <v>9</v>
      </c>
      <c r="J14" s="67" t="s">
        <v>9</v>
      </c>
      <c r="K14" s="67" t="s">
        <v>9</v>
      </c>
      <c r="L14" s="67" t="s">
        <v>9</v>
      </c>
      <c r="M14" s="67" t="s">
        <v>9</v>
      </c>
      <c r="N14" s="67" t="s">
        <v>9</v>
      </c>
      <c r="O14" s="102" t="s">
        <v>9</v>
      </c>
      <c r="P14" s="107" t="s">
        <v>9</v>
      </c>
      <c r="Q14" s="70" t="s">
        <v>9</v>
      </c>
      <c r="R14" s="70" t="s">
        <v>9</v>
      </c>
      <c r="S14" s="70" t="s">
        <v>9</v>
      </c>
      <c r="T14" s="70" t="s">
        <v>9</v>
      </c>
      <c r="U14" s="70" t="s">
        <v>9</v>
      </c>
      <c r="V14" s="70" t="s">
        <v>9</v>
      </c>
      <c r="W14" s="70" t="s">
        <v>9</v>
      </c>
      <c r="X14" s="70" t="s">
        <v>9</v>
      </c>
      <c r="Y14" s="70" t="s">
        <v>9</v>
      </c>
      <c r="Z14" s="70" t="s">
        <v>9</v>
      </c>
      <c r="AA14" s="108" t="s">
        <v>9</v>
      </c>
      <c r="AB14" s="111">
        <v>3800000</v>
      </c>
      <c r="AC14" s="96">
        <v>8100000</v>
      </c>
      <c r="AD14" s="96">
        <v>8100000</v>
      </c>
      <c r="AE14" s="96">
        <v>8200000</v>
      </c>
      <c r="AF14" s="96">
        <v>8200000</v>
      </c>
      <c r="AG14" s="96">
        <v>4200000</v>
      </c>
      <c r="AH14" s="96">
        <v>1000000</v>
      </c>
      <c r="AI14" s="96">
        <v>1500000</v>
      </c>
      <c r="AJ14" s="96">
        <v>1500000</v>
      </c>
      <c r="AK14" s="96">
        <v>3400000</v>
      </c>
      <c r="AL14" s="96">
        <v>3000000</v>
      </c>
      <c r="AM14" s="96">
        <v>25000000</v>
      </c>
      <c r="AN14" s="96">
        <v>4000000</v>
      </c>
      <c r="AO14" s="112">
        <v>3800000</v>
      </c>
      <c r="AP14" s="73">
        <v>8100000</v>
      </c>
      <c r="AQ14" s="73">
        <v>8100000</v>
      </c>
      <c r="AR14" s="73">
        <v>8200000</v>
      </c>
      <c r="AS14" s="73">
        <v>8200000</v>
      </c>
      <c r="AT14" s="73">
        <v>4200000</v>
      </c>
      <c r="AU14" s="73">
        <v>1000000</v>
      </c>
      <c r="AV14" s="73">
        <v>1500000</v>
      </c>
      <c r="AW14" s="73">
        <v>1500000</v>
      </c>
      <c r="AX14" s="73">
        <v>3400000</v>
      </c>
      <c r="AY14" s="73">
        <v>3000000</v>
      </c>
      <c r="AZ14" s="157">
        <v>25000000</v>
      </c>
      <c r="BA14" s="73">
        <f t="shared" si="4"/>
        <v>4000000</v>
      </c>
      <c r="BB14" s="74">
        <f t="shared" si="2"/>
        <v>80000000</v>
      </c>
      <c r="BC14" s="113">
        <f t="shared" si="3"/>
        <v>5000000</v>
      </c>
    </row>
    <row r="15" spans="1:55" x14ac:dyDescent="0.25">
      <c r="A15" s="103">
        <v>11</v>
      </c>
      <c r="B15" s="68" t="s">
        <v>104</v>
      </c>
      <c r="C15" s="104" t="s">
        <v>153</v>
      </c>
      <c r="D15" s="462"/>
      <c r="E15" s="67" t="s">
        <v>9</v>
      </c>
      <c r="F15" s="67" t="s">
        <v>9</v>
      </c>
      <c r="G15" s="67" t="s">
        <v>9</v>
      </c>
      <c r="H15" s="67" t="s">
        <v>9</v>
      </c>
      <c r="I15" s="67" t="s">
        <v>9</v>
      </c>
      <c r="J15" s="67" t="s">
        <v>9</v>
      </c>
      <c r="K15" s="67" t="s">
        <v>9</v>
      </c>
      <c r="L15" s="67" t="s">
        <v>9</v>
      </c>
      <c r="M15" s="67" t="s">
        <v>9</v>
      </c>
      <c r="N15" s="67" t="s">
        <v>9</v>
      </c>
      <c r="O15" s="102" t="s">
        <v>9</v>
      </c>
      <c r="P15" s="462"/>
      <c r="Q15" s="70" t="s">
        <v>9</v>
      </c>
      <c r="R15" s="70" t="s">
        <v>9</v>
      </c>
      <c r="S15" s="70" t="s">
        <v>9</v>
      </c>
      <c r="T15" s="70" t="s">
        <v>9</v>
      </c>
      <c r="U15" s="70" t="s">
        <v>9</v>
      </c>
      <c r="V15" s="70" t="s">
        <v>9</v>
      </c>
      <c r="W15" s="70" t="s">
        <v>9</v>
      </c>
      <c r="X15" s="70" t="s">
        <v>9</v>
      </c>
      <c r="Y15" s="70" t="s">
        <v>9</v>
      </c>
      <c r="Z15" s="70" t="s">
        <v>9</v>
      </c>
      <c r="AA15" s="108" t="s">
        <v>9</v>
      </c>
      <c r="AB15" s="465"/>
      <c r="AC15" s="96">
        <v>8100000</v>
      </c>
      <c r="AD15" s="96">
        <v>8100000</v>
      </c>
      <c r="AE15" s="96">
        <v>8200000</v>
      </c>
      <c r="AF15" s="96">
        <v>8200000</v>
      </c>
      <c r="AG15" s="96">
        <v>4200000</v>
      </c>
      <c r="AH15" s="96">
        <v>1000000</v>
      </c>
      <c r="AI15" s="96">
        <v>1500000</v>
      </c>
      <c r="AJ15" s="96">
        <v>1500000</v>
      </c>
      <c r="AK15" s="96">
        <v>3400000</v>
      </c>
      <c r="AL15" s="96">
        <v>3000000</v>
      </c>
      <c r="AM15" s="96">
        <v>25000000</v>
      </c>
      <c r="AN15" s="96">
        <v>4000000</v>
      </c>
      <c r="AO15" s="465"/>
      <c r="AP15" s="73">
        <v>8100000</v>
      </c>
      <c r="AQ15" s="73">
        <v>8100000</v>
      </c>
      <c r="AR15" s="73">
        <v>8200000</v>
      </c>
      <c r="AS15" s="73">
        <v>8200000</v>
      </c>
      <c r="AT15" s="73">
        <v>4200000</v>
      </c>
      <c r="AU15" s="157">
        <v>1000000</v>
      </c>
      <c r="AV15" s="157">
        <v>1500000</v>
      </c>
      <c r="AW15" s="157">
        <v>1500000</v>
      </c>
      <c r="AX15" s="73">
        <v>3400000</v>
      </c>
      <c r="AY15" s="73">
        <v>3000000</v>
      </c>
      <c r="AZ15" s="73">
        <v>25000000</v>
      </c>
      <c r="BA15" s="73">
        <f t="shared" ref="BA15:BA20" si="5">AN15</f>
        <v>4000000</v>
      </c>
      <c r="BB15" s="74">
        <f t="shared" si="2"/>
        <v>76200000</v>
      </c>
      <c r="BC15" s="113">
        <f t="shared" ref="BC15:BC21" si="6">80800000-BB15</f>
        <v>4600000</v>
      </c>
    </row>
    <row r="16" spans="1:55" x14ac:dyDescent="0.25">
      <c r="A16" s="103">
        <v>12</v>
      </c>
      <c r="B16" s="68" t="s">
        <v>104</v>
      </c>
      <c r="C16" s="104" t="s">
        <v>152</v>
      </c>
      <c r="D16" s="463"/>
      <c r="E16" s="67" t="s">
        <v>9</v>
      </c>
      <c r="F16" s="67" t="s">
        <v>9</v>
      </c>
      <c r="G16" s="67" t="s">
        <v>9</v>
      </c>
      <c r="H16" s="67" t="s">
        <v>9</v>
      </c>
      <c r="I16" s="67" t="s">
        <v>9</v>
      </c>
      <c r="J16" s="67" t="s">
        <v>9</v>
      </c>
      <c r="K16" s="67" t="s">
        <v>9</v>
      </c>
      <c r="L16" s="67" t="s">
        <v>9</v>
      </c>
      <c r="M16" s="67" t="s">
        <v>9</v>
      </c>
      <c r="N16" s="67" t="s">
        <v>9</v>
      </c>
      <c r="O16" s="102" t="s">
        <v>9</v>
      </c>
      <c r="P16" s="463"/>
      <c r="Q16" s="70" t="s">
        <v>9</v>
      </c>
      <c r="R16" s="70" t="s">
        <v>9</v>
      </c>
      <c r="S16" s="70" t="s">
        <v>9</v>
      </c>
      <c r="T16" s="70" t="s">
        <v>9</v>
      </c>
      <c r="U16" s="70" t="s">
        <v>9</v>
      </c>
      <c r="V16" s="70" t="s">
        <v>9</v>
      </c>
      <c r="W16" s="70" t="s">
        <v>9</v>
      </c>
      <c r="X16" s="70" t="s">
        <v>9</v>
      </c>
      <c r="Y16" s="70" t="s">
        <v>9</v>
      </c>
      <c r="Z16" s="70" t="s">
        <v>9</v>
      </c>
      <c r="AA16" s="108" t="s">
        <v>9</v>
      </c>
      <c r="AB16" s="466"/>
      <c r="AC16" s="96">
        <v>8100000</v>
      </c>
      <c r="AD16" s="96">
        <v>8100000</v>
      </c>
      <c r="AE16" s="96">
        <v>8200000</v>
      </c>
      <c r="AF16" s="96">
        <v>8200000</v>
      </c>
      <c r="AG16" s="96">
        <v>4200000</v>
      </c>
      <c r="AH16" s="96">
        <v>1000000</v>
      </c>
      <c r="AI16" s="96">
        <v>1500000</v>
      </c>
      <c r="AJ16" s="96">
        <v>1500000</v>
      </c>
      <c r="AK16" s="96">
        <v>3400000</v>
      </c>
      <c r="AL16" s="96">
        <v>3000000</v>
      </c>
      <c r="AM16" s="96">
        <v>25000000</v>
      </c>
      <c r="AN16" s="96">
        <v>4000000</v>
      </c>
      <c r="AO16" s="466"/>
      <c r="AP16" s="73">
        <v>8100000</v>
      </c>
      <c r="AQ16" s="73">
        <v>8100000</v>
      </c>
      <c r="AR16" s="73">
        <v>8200000</v>
      </c>
      <c r="AS16" s="73">
        <v>8200000</v>
      </c>
      <c r="AT16" s="73">
        <v>4200000</v>
      </c>
      <c r="AU16" s="157">
        <v>1000000</v>
      </c>
      <c r="AV16" s="157">
        <v>1500000</v>
      </c>
      <c r="AW16" s="157">
        <v>1500000</v>
      </c>
      <c r="AX16" s="73">
        <v>3400000</v>
      </c>
      <c r="AY16" s="73">
        <v>3000000</v>
      </c>
      <c r="AZ16" s="73">
        <v>25000000</v>
      </c>
      <c r="BA16" s="73">
        <f t="shared" si="5"/>
        <v>4000000</v>
      </c>
      <c r="BB16" s="74">
        <f t="shared" si="2"/>
        <v>76200000</v>
      </c>
      <c r="BC16" s="113">
        <f t="shared" si="6"/>
        <v>4600000</v>
      </c>
    </row>
    <row r="17" spans="1:55" x14ac:dyDescent="0.25">
      <c r="A17" s="103">
        <v>13</v>
      </c>
      <c r="B17" s="68" t="s">
        <v>104</v>
      </c>
      <c r="C17" s="104" t="s">
        <v>151</v>
      </c>
      <c r="D17" s="463"/>
      <c r="E17" s="67" t="s">
        <v>9</v>
      </c>
      <c r="F17" s="67" t="s">
        <v>9</v>
      </c>
      <c r="G17" s="67" t="s">
        <v>9</v>
      </c>
      <c r="H17" s="67" t="s">
        <v>9</v>
      </c>
      <c r="I17" s="67" t="s">
        <v>9</v>
      </c>
      <c r="J17" s="67" t="s">
        <v>9</v>
      </c>
      <c r="K17" s="67" t="s">
        <v>9</v>
      </c>
      <c r="L17" s="67" t="s">
        <v>9</v>
      </c>
      <c r="M17" s="67" t="s">
        <v>9</v>
      </c>
      <c r="N17" s="67" t="s">
        <v>9</v>
      </c>
      <c r="O17" s="102" t="s">
        <v>9</v>
      </c>
      <c r="P17" s="463"/>
      <c r="Q17" s="70" t="s">
        <v>9</v>
      </c>
      <c r="R17" s="70" t="s">
        <v>9</v>
      </c>
      <c r="S17" s="70" t="s">
        <v>9</v>
      </c>
      <c r="T17" s="70" t="s">
        <v>9</v>
      </c>
      <c r="U17" s="70" t="s">
        <v>9</v>
      </c>
      <c r="V17" s="70" t="s">
        <v>9</v>
      </c>
      <c r="W17" s="70" t="s">
        <v>9</v>
      </c>
      <c r="X17" s="70" t="s">
        <v>9</v>
      </c>
      <c r="Y17" s="70" t="s">
        <v>9</v>
      </c>
      <c r="Z17" s="70" t="s">
        <v>9</v>
      </c>
      <c r="AA17" s="108" t="s">
        <v>9</v>
      </c>
      <c r="AB17" s="466"/>
      <c r="AC17" s="96">
        <v>8100000</v>
      </c>
      <c r="AD17" s="96">
        <v>8100000</v>
      </c>
      <c r="AE17" s="96">
        <v>8200000</v>
      </c>
      <c r="AF17" s="96">
        <v>8200000</v>
      </c>
      <c r="AG17" s="96">
        <v>4200000</v>
      </c>
      <c r="AH17" s="96">
        <v>1000000</v>
      </c>
      <c r="AI17" s="96">
        <v>1500000</v>
      </c>
      <c r="AJ17" s="96">
        <v>1500000</v>
      </c>
      <c r="AK17" s="96">
        <v>3400000</v>
      </c>
      <c r="AL17" s="96">
        <v>3000000</v>
      </c>
      <c r="AM17" s="96">
        <v>25000000</v>
      </c>
      <c r="AN17" s="96">
        <v>4000000</v>
      </c>
      <c r="AO17" s="466"/>
      <c r="AP17" s="73">
        <v>8100000</v>
      </c>
      <c r="AQ17" s="73">
        <v>8100000</v>
      </c>
      <c r="AR17" s="73">
        <v>8200000</v>
      </c>
      <c r="AS17" s="73">
        <v>8200000</v>
      </c>
      <c r="AT17" s="73">
        <v>4200000</v>
      </c>
      <c r="AU17" s="157">
        <v>1000000</v>
      </c>
      <c r="AV17" s="157">
        <v>1500000</v>
      </c>
      <c r="AW17" s="157">
        <v>1500000</v>
      </c>
      <c r="AX17" s="73">
        <v>3400000</v>
      </c>
      <c r="AY17" s="73">
        <v>3000000</v>
      </c>
      <c r="AZ17" s="73">
        <v>25000000</v>
      </c>
      <c r="BA17" s="73">
        <f t="shared" si="5"/>
        <v>4000000</v>
      </c>
      <c r="BB17" s="74">
        <f t="shared" si="2"/>
        <v>76200000</v>
      </c>
      <c r="BC17" s="113">
        <f t="shared" si="6"/>
        <v>4600000</v>
      </c>
    </row>
    <row r="18" spans="1:55" x14ac:dyDescent="0.25">
      <c r="A18" s="103">
        <v>14</v>
      </c>
      <c r="B18" s="68" t="s">
        <v>104</v>
      </c>
      <c r="C18" s="104" t="s">
        <v>150</v>
      </c>
      <c r="D18" s="463"/>
      <c r="E18" s="67" t="s">
        <v>9</v>
      </c>
      <c r="F18" s="67" t="s">
        <v>9</v>
      </c>
      <c r="G18" s="67" t="s">
        <v>9</v>
      </c>
      <c r="H18" s="67" t="s">
        <v>9</v>
      </c>
      <c r="I18" s="67" t="s">
        <v>9</v>
      </c>
      <c r="J18" s="67" t="s">
        <v>9</v>
      </c>
      <c r="K18" s="67" t="s">
        <v>9</v>
      </c>
      <c r="L18" s="67" t="s">
        <v>9</v>
      </c>
      <c r="M18" s="67" t="s">
        <v>9</v>
      </c>
      <c r="N18" s="67" t="s">
        <v>9</v>
      </c>
      <c r="O18" s="102" t="s">
        <v>9</v>
      </c>
      <c r="P18" s="463"/>
      <c r="Q18" s="70" t="s">
        <v>9</v>
      </c>
      <c r="R18" s="70" t="s">
        <v>9</v>
      </c>
      <c r="S18" s="70" t="s">
        <v>9</v>
      </c>
      <c r="T18" s="70" t="s">
        <v>9</v>
      </c>
      <c r="U18" s="70" t="s">
        <v>9</v>
      </c>
      <c r="V18" s="70" t="s">
        <v>9</v>
      </c>
      <c r="W18" s="70" t="s">
        <v>9</v>
      </c>
      <c r="X18" s="70" t="s">
        <v>9</v>
      </c>
      <c r="Y18" s="70" t="s">
        <v>9</v>
      </c>
      <c r="Z18" s="70" t="s">
        <v>9</v>
      </c>
      <c r="AA18" s="108" t="s">
        <v>9</v>
      </c>
      <c r="AB18" s="466"/>
      <c r="AC18" s="96">
        <v>8100000</v>
      </c>
      <c r="AD18" s="96">
        <v>8100000</v>
      </c>
      <c r="AE18" s="96">
        <v>8200000</v>
      </c>
      <c r="AF18" s="96">
        <v>8200000</v>
      </c>
      <c r="AG18" s="96">
        <v>4200000</v>
      </c>
      <c r="AH18" s="96">
        <v>1000000</v>
      </c>
      <c r="AI18" s="96">
        <v>1500000</v>
      </c>
      <c r="AJ18" s="96">
        <v>1500000</v>
      </c>
      <c r="AK18" s="96">
        <v>3400000</v>
      </c>
      <c r="AL18" s="96">
        <v>3000000</v>
      </c>
      <c r="AM18" s="96">
        <v>25000000</v>
      </c>
      <c r="AN18" s="96">
        <v>4000000</v>
      </c>
      <c r="AO18" s="466"/>
      <c r="AP18" s="73">
        <v>8100000</v>
      </c>
      <c r="AQ18" s="73">
        <v>8100000</v>
      </c>
      <c r="AR18" s="73">
        <v>8200000</v>
      </c>
      <c r="AS18" s="73">
        <v>8200000</v>
      </c>
      <c r="AT18" s="73">
        <v>4200000</v>
      </c>
      <c r="AU18" s="157">
        <v>1000000</v>
      </c>
      <c r="AV18" s="157">
        <v>1500000</v>
      </c>
      <c r="AW18" s="157">
        <v>1500000</v>
      </c>
      <c r="AX18" s="73">
        <v>3400000</v>
      </c>
      <c r="AY18" s="73">
        <v>3000000</v>
      </c>
      <c r="AZ18" s="73">
        <v>25000000</v>
      </c>
      <c r="BA18" s="73">
        <f t="shared" si="5"/>
        <v>4000000</v>
      </c>
      <c r="BB18" s="74">
        <f t="shared" si="2"/>
        <v>76200000</v>
      </c>
      <c r="BC18" s="113">
        <f t="shared" si="6"/>
        <v>4600000</v>
      </c>
    </row>
    <row r="19" spans="1:55" x14ac:dyDescent="0.25">
      <c r="A19" s="103">
        <v>15</v>
      </c>
      <c r="B19" s="68" t="s">
        <v>104</v>
      </c>
      <c r="C19" s="104" t="s">
        <v>149</v>
      </c>
      <c r="D19" s="463"/>
      <c r="E19" s="67" t="s">
        <v>9</v>
      </c>
      <c r="F19" s="67" t="s">
        <v>9</v>
      </c>
      <c r="G19" s="67" t="s">
        <v>9</v>
      </c>
      <c r="H19" s="67" t="s">
        <v>9</v>
      </c>
      <c r="I19" s="67" t="s">
        <v>9</v>
      </c>
      <c r="J19" s="67" t="s">
        <v>9</v>
      </c>
      <c r="K19" s="67" t="s">
        <v>9</v>
      </c>
      <c r="L19" s="67" t="s">
        <v>9</v>
      </c>
      <c r="M19" s="67" t="s">
        <v>9</v>
      </c>
      <c r="N19" s="67" t="s">
        <v>9</v>
      </c>
      <c r="O19" s="102" t="s">
        <v>9</v>
      </c>
      <c r="P19" s="463"/>
      <c r="Q19" s="70" t="s">
        <v>9</v>
      </c>
      <c r="R19" s="70" t="s">
        <v>9</v>
      </c>
      <c r="S19" s="70" t="s">
        <v>9</v>
      </c>
      <c r="T19" s="70" t="s">
        <v>9</v>
      </c>
      <c r="U19" s="70" t="s">
        <v>9</v>
      </c>
      <c r="V19" s="70" t="s">
        <v>9</v>
      </c>
      <c r="W19" s="70" t="s">
        <v>9</v>
      </c>
      <c r="X19" s="70" t="s">
        <v>9</v>
      </c>
      <c r="Y19" s="70" t="s">
        <v>9</v>
      </c>
      <c r="Z19" s="70" t="s">
        <v>9</v>
      </c>
      <c r="AA19" s="108" t="s">
        <v>9</v>
      </c>
      <c r="AB19" s="466"/>
      <c r="AC19" s="96">
        <v>8100000</v>
      </c>
      <c r="AD19" s="96">
        <v>8100000</v>
      </c>
      <c r="AE19" s="96">
        <v>8200000</v>
      </c>
      <c r="AF19" s="96">
        <v>8200000</v>
      </c>
      <c r="AG19" s="96">
        <v>4200000</v>
      </c>
      <c r="AH19" s="96">
        <v>1000000</v>
      </c>
      <c r="AI19" s="96">
        <v>1500000</v>
      </c>
      <c r="AJ19" s="96">
        <v>1500000</v>
      </c>
      <c r="AK19" s="96">
        <v>3400000</v>
      </c>
      <c r="AL19" s="96">
        <v>3000000</v>
      </c>
      <c r="AM19" s="96">
        <v>25000000</v>
      </c>
      <c r="AN19" s="96">
        <v>4000000</v>
      </c>
      <c r="AO19" s="466"/>
      <c r="AP19" s="73">
        <v>8100000</v>
      </c>
      <c r="AQ19" s="73">
        <v>8100000</v>
      </c>
      <c r="AR19" s="73">
        <v>8200000</v>
      </c>
      <c r="AS19" s="73">
        <v>8200000</v>
      </c>
      <c r="AT19" s="73">
        <v>4200000</v>
      </c>
      <c r="AU19" s="157">
        <v>1000000</v>
      </c>
      <c r="AV19" s="157">
        <v>1500000</v>
      </c>
      <c r="AW19" s="157">
        <v>1500000</v>
      </c>
      <c r="AX19" s="73">
        <v>3400000</v>
      </c>
      <c r="AY19" s="73">
        <v>3000000</v>
      </c>
      <c r="AZ19" s="73">
        <v>25000000</v>
      </c>
      <c r="BA19" s="73">
        <f t="shared" si="5"/>
        <v>4000000</v>
      </c>
      <c r="BB19" s="74">
        <f t="shared" si="2"/>
        <v>76200000</v>
      </c>
      <c r="BC19" s="113">
        <f t="shared" si="6"/>
        <v>4600000</v>
      </c>
    </row>
    <row r="20" spans="1:55" x14ac:dyDescent="0.25">
      <c r="A20" s="103">
        <v>16</v>
      </c>
      <c r="B20" s="68" t="s">
        <v>104</v>
      </c>
      <c r="C20" s="104" t="s">
        <v>148</v>
      </c>
      <c r="D20" s="463"/>
      <c r="E20" s="67" t="s">
        <v>9</v>
      </c>
      <c r="F20" s="67" t="s">
        <v>9</v>
      </c>
      <c r="G20" s="67" t="s">
        <v>9</v>
      </c>
      <c r="H20" s="67" t="s">
        <v>9</v>
      </c>
      <c r="I20" s="67" t="s">
        <v>9</v>
      </c>
      <c r="J20" s="67" t="s">
        <v>9</v>
      </c>
      <c r="K20" s="67" t="s">
        <v>9</v>
      </c>
      <c r="L20" s="67" t="s">
        <v>9</v>
      </c>
      <c r="M20" s="67" t="s">
        <v>9</v>
      </c>
      <c r="N20" s="67" t="s">
        <v>9</v>
      </c>
      <c r="O20" s="102" t="s">
        <v>9</v>
      </c>
      <c r="P20" s="463"/>
      <c r="Q20" s="70" t="s">
        <v>9</v>
      </c>
      <c r="R20" s="70" t="s">
        <v>9</v>
      </c>
      <c r="S20" s="70" t="s">
        <v>9</v>
      </c>
      <c r="T20" s="70" t="s">
        <v>9</v>
      </c>
      <c r="U20" s="70" t="s">
        <v>9</v>
      </c>
      <c r="V20" s="70" t="s">
        <v>9</v>
      </c>
      <c r="W20" s="70" t="s">
        <v>9</v>
      </c>
      <c r="X20" s="70" t="s">
        <v>9</v>
      </c>
      <c r="Y20" s="70" t="s">
        <v>9</v>
      </c>
      <c r="Z20" s="70" t="s">
        <v>9</v>
      </c>
      <c r="AA20" s="108" t="s">
        <v>9</v>
      </c>
      <c r="AB20" s="466"/>
      <c r="AC20" s="96">
        <v>8100000</v>
      </c>
      <c r="AD20" s="96">
        <v>8100000</v>
      </c>
      <c r="AE20" s="96">
        <v>8200000</v>
      </c>
      <c r="AF20" s="96">
        <v>8200000</v>
      </c>
      <c r="AG20" s="96">
        <v>4200000</v>
      </c>
      <c r="AH20" s="96">
        <v>1000000</v>
      </c>
      <c r="AI20" s="96">
        <v>1500000</v>
      </c>
      <c r="AJ20" s="96">
        <v>1500000</v>
      </c>
      <c r="AK20" s="96">
        <v>3400000</v>
      </c>
      <c r="AL20" s="96">
        <v>3000000</v>
      </c>
      <c r="AM20" s="96">
        <v>25000000</v>
      </c>
      <c r="AN20" s="96">
        <v>4000000</v>
      </c>
      <c r="AO20" s="466"/>
      <c r="AP20" s="73">
        <v>8100000</v>
      </c>
      <c r="AQ20" s="73">
        <v>8100000</v>
      </c>
      <c r="AR20" s="73">
        <v>8200000</v>
      </c>
      <c r="AS20" s="73">
        <v>8200000</v>
      </c>
      <c r="AT20" s="73">
        <v>4200000</v>
      </c>
      <c r="AU20" s="157">
        <v>1000000</v>
      </c>
      <c r="AV20" s="157">
        <v>1500000</v>
      </c>
      <c r="AW20" s="157">
        <v>1500000</v>
      </c>
      <c r="AX20" s="73">
        <v>3400000</v>
      </c>
      <c r="AY20" s="73">
        <v>3000000</v>
      </c>
      <c r="AZ20" s="73">
        <v>25000000</v>
      </c>
      <c r="BA20" s="73">
        <f t="shared" si="5"/>
        <v>4000000</v>
      </c>
      <c r="BB20" s="74">
        <f t="shared" si="2"/>
        <v>76200000</v>
      </c>
      <c r="BC20" s="113">
        <f t="shared" si="6"/>
        <v>4600000</v>
      </c>
    </row>
    <row r="21" spans="1:55" x14ac:dyDescent="0.25">
      <c r="A21" s="103">
        <v>17</v>
      </c>
      <c r="B21" s="68" t="s">
        <v>104</v>
      </c>
      <c r="C21" s="104" t="s">
        <v>147</v>
      </c>
      <c r="D21" s="464"/>
      <c r="E21" s="67" t="s">
        <v>9</v>
      </c>
      <c r="F21" s="67" t="s">
        <v>9</v>
      </c>
      <c r="G21" s="67" t="s">
        <v>9</v>
      </c>
      <c r="H21" s="67" t="s">
        <v>9</v>
      </c>
      <c r="I21" s="67" t="s">
        <v>9</v>
      </c>
      <c r="J21" s="67" t="s">
        <v>9</v>
      </c>
      <c r="K21" s="67" t="s">
        <v>9</v>
      </c>
      <c r="L21" s="67" t="s">
        <v>9</v>
      </c>
      <c r="M21" s="67" t="s">
        <v>9</v>
      </c>
      <c r="N21" s="67" t="s">
        <v>9</v>
      </c>
      <c r="O21" s="102" t="s">
        <v>9</v>
      </c>
      <c r="P21" s="464"/>
      <c r="Q21" s="70" t="s">
        <v>9</v>
      </c>
      <c r="R21" s="70" t="s">
        <v>9</v>
      </c>
      <c r="S21" s="70" t="s">
        <v>9</v>
      </c>
      <c r="T21" s="70" t="s">
        <v>9</v>
      </c>
      <c r="U21" s="70" t="s">
        <v>9</v>
      </c>
      <c r="V21" s="70" t="s">
        <v>9</v>
      </c>
      <c r="W21" s="70" t="s">
        <v>9</v>
      </c>
      <c r="X21" s="70" t="s">
        <v>9</v>
      </c>
      <c r="Y21" s="70" t="s">
        <v>9</v>
      </c>
      <c r="Z21" s="70" t="s">
        <v>9</v>
      </c>
      <c r="AA21" s="108" t="s">
        <v>9</v>
      </c>
      <c r="AB21" s="467"/>
      <c r="AC21" s="96">
        <v>8100000</v>
      </c>
      <c r="AD21" s="96">
        <v>8100000</v>
      </c>
      <c r="AE21" s="96">
        <v>8200000</v>
      </c>
      <c r="AF21" s="96">
        <v>8200000</v>
      </c>
      <c r="AG21" s="96">
        <v>4200000</v>
      </c>
      <c r="AH21" s="96">
        <v>1000000</v>
      </c>
      <c r="AI21" s="96">
        <v>1500000</v>
      </c>
      <c r="AJ21" s="96">
        <v>1500000</v>
      </c>
      <c r="AK21" s="96">
        <v>3400000</v>
      </c>
      <c r="AL21" s="96">
        <v>3000000</v>
      </c>
      <c r="AM21" s="96">
        <v>25000000</v>
      </c>
      <c r="AN21" s="96">
        <v>4000000</v>
      </c>
      <c r="AO21" s="467"/>
      <c r="AP21" s="73">
        <v>8100000</v>
      </c>
      <c r="AQ21" s="73">
        <v>8100000</v>
      </c>
      <c r="AR21" s="73">
        <v>8200000</v>
      </c>
      <c r="AS21" s="73">
        <v>8200000</v>
      </c>
      <c r="AT21" s="73">
        <v>4200000</v>
      </c>
      <c r="AU21" s="157">
        <v>1000000</v>
      </c>
      <c r="AV21" s="157">
        <v>1500000</v>
      </c>
      <c r="AW21" s="157">
        <v>1500000</v>
      </c>
      <c r="AX21" s="73">
        <v>3400000</v>
      </c>
      <c r="AY21" s="73">
        <v>3000000</v>
      </c>
      <c r="AZ21" s="73">
        <v>25000000</v>
      </c>
      <c r="BA21" s="73"/>
      <c r="BB21" s="74">
        <f>SUM(AO21:BA21)</f>
        <v>72200000</v>
      </c>
      <c r="BC21" s="113">
        <f t="shared" si="6"/>
        <v>8600000</v>
      </c>
    </row>
    <row r="22" spans="1:55" x14ac:dyDescent="0.25">
      <c r="A22" s="68">
        <v>18</v>
      </c>
      <c r="B22" s="68" t="s">
        <v>277</v>
      </c>
      <c r="C22" s="68" t="s">
        <v>278</v>
      </c>
      <c r="D22" s="67" t="s">
        <v>9</v>
      </c>
      <c r="E22" s="67" t="s">
        <v>9</v>
      </c>
      <c r="F22" s="67" t="s">
        <v>9</v>
      </c>
      <c r="G22" s="67" t="s">
        <v>9</v>
      </c>
      <c r="H22" s="67" t="s">
        <v>9</v>
      </c>
      <c r="I22" s="67" t="s">
        <v>9</v>
      </c>
      <c r="J22" s="67" t="s">
        <v>9</v>
      </c>
      <c r="K22" s="67" t="s">
        <v>9</v>
      </c>
      <c r="L22" s="67" t="s">
        <v>9</v>
      </c>
      <c r="M22" s="67" t="s">
        <v>9</v>
      </c>
      <c r="N22" s="67" t="s">
        <v>9</v>
      </c>
      <c r="O22" s="102" t="s">
        <v>9</v>
      </c>
      <c r="P22" s="70" t="s">
        <v>9</v>
      </c>
      <c r="Q22" s="70" t="s">
        <v>9</v>
      </c>
      <c r="R22" s="70" t="s">
        <v>9</v>
      </c>
      <c r="S22" s="70" t="s">
        <v>9</v>
      </c>
      <c r="T22" s="70"/>
      <c r="U22" s="70"/>
      <c r="V22" s="70" t="s">
        <v>9</v>
      </c>
      <c r="W22" s="70" t="s">
        <v>9</v>
      </c>
      <c r="X22" s="70" t="s">
        <v>9</v>
      </c>
      <c r="Y22" s="70"/>
      <c r="Z22" s="70"/>
      <c r="AA22" s="70" t="s">
        <v>9</v>
      </c>
      <c r="AB22" s="111">
        <v>3800000</v>
      </c>
      <c r="AC22" s="96">
        <v>8100000</v>
      </c>
      <c r="AD22" s="96">
        <v>8100000</v>
      </c>
      <c r="AE22" s="96">
        <v>8200000</v>
      </c>
      <c r="AF22" s="96"/>
      <c r="AG22" s="96"/>
      <c r="AH22" s="96">
        <v>1000000</v>
      </c>
      <c r="AI22" s="96">
        <v>1500000</v>
      </c>
      <c r="AJ22" s="96">
        <v>1500000</v>
      </c>
      <c r="AK22" s="96"/>
      <c r="AL22" s="96"/>
      <c r="AM22" s="96"/>
      <c r="AN22" s="96"/>
      <c r="AO22" s="73">
        <f>AB22</f>
        <v>3800000</v>
      </c>
      <c r="AP22" s="73">
        <f t="shared" ref="AP22:AW30" si="7">AC22</f>
        <v>8100000</v>
      </c>
      <c r="AQ22" s="73">
        <f t="shared" si="7"/>
        <v>8100000</v>
      </c>
      <c r="AR22" s="73">
        <f t="shared" si="7"/>
        <v>8200000</v>
      </c>
      <c r="AS22" s="73"/>
      <c r="AT22" s="73"/>
      <c r="AU22" s="73">
        <f t="shared" si="7"/>
        <v>1000000</v>
      </c>
      <c r="AV22" s="73">
        <f t="shared" si="7"/>
        <v>1500000</v>
      </c>
      <c r="AW22" s="73">
        <f t="shared" si="7"/>
        <v>1500000</v>
      </c>
      <c r="AX22" s="73"/>
      <c r="AY22" s="73"/>
      <c r="AZ22" s="73"/>
      <c r="BA22" s="73"/>
      <c r="BB22" s="74">
        <f t="shared" ref="BB22:BB30" si="8">SUM(AO22:BA22)</f>
        <v>32200000</v>
      </c>
      <c r="BC22" s="113">
        <f t="shared" ref="BC22:BC30" si="9">85000000-BB22</f>
        <v>52800000</v>
      </c>
    </row>
    <row r="23" spans="1:55" x14ac:dyDescent="0.25">
      <c r="A23" s="103">
        <v>19</v>
      </c>
      <c r="B23" s="68" t="s">
        <v>277</v>
      </c>
      <c r="C23" s="68" t="s">
        <v>279</v>
      </c>
      <c r="D23" s="67" t="s">
        <v>9</v>
      </c>
      <c r="E23" s="67" t="s">
        <v>9</v>
      </c>
      <c r="F23" s="67" t="s">
        <v>9</v>
      </c>
      <c r="G23" s="67" t="s">
        <v>9</v>
      </c>
      <c r="H23" s="67" t="s">
        <v>9</v>
      </c>
      <c r="I23" s="67" t="s">
        <v>9</v>
      </c>
      <c r="J23" s="67" t="s">
        <v>9</v>
      </c>
      <c r="K23" s="67" t="s">
        <v>9</v>
      </c>
      <c r="L23" s="67" t="s">
        <v>9</v>
      </c>
      <c r="M23" s="67" t="s">
        <v>9</v>
      </c>
      <c r="N23" s="67" t="s">
        <v>9</v>
      </c>
      <c r="O23" s="102" t="s">
        <v>9</v>
      </c>
      <c r="P23" s="70" t="s">
        <v>9</v>
      </c>
      <c r="Q23" s="70" t="s">
        <v>9</v>
      </c>
      <c r="R23" s="70" t="s">
        <v>9</v>
      </c>
      <c r="S23" s="70" t="s">
        <v>9</v>
      </c>
      <c r="T23" s="70"/>
      <c r="U23" s="70"/>
      <c r="V23" s="70" t="s">
        <v>9</v>
      </c>
      <c r="W23" s="70" t="s">
        <v>9</v>
      </c>
      <c r="X23" s="70" t="s">
        <v>9</v>
      </c>
      <c r="Y23" s="70"/>
      <c r="Z23" s="70"/>
      <c r="AA23" s="70" t="s">
        <v>9</v>
      </c>
      <c r="AB23" s="111">
        <v>3800000</v>
      </c>
      <c r="AC23" s="96">
        <v>8100000</v>
      </c>
      <c r="AD23" s="96">
        <v>8100000</v>
      </c>
      <c r="AE23" s="96">
        <v>8200000</v>
      </c>
      <c r="AF23" s="96"/>
      <c r="AG23" s="96"/>
      <c r="AH23" s="96">
        <v>1000000</v>
      </c>
      <c r="AI23" s="96">
        <v>1500000</v>
      </c>
      <c r="AJ23" s="96">
        <v>1500000</v>
      </c>
      <c r="AK23" s="96"/>
      <c r="AL23" s="96"/>
      <c r="AM23" s="96"/>
      <c r="AN23" s="96"/>
      <c r="AO23" s="73">
        <f t="shared" ref="AO23:AO30" si="10">AB23</f>
        <v>3800000</v>
      </c>
      <c r="AP23" s="73">
        <f t="shared" si="7"/>
        <v>8100000</v>
      </c>
      <c r="AQ23" s="73">
        <f t="shared" si="7"/>
        <v>8100000</v>
      </c>
      <c r="AR23" s="73">
        <f t="shared" si="7"/>
        <v>8200000</v>
      </c>
      <c r="AS23" s="73"/>
      <c r="AT23" s="73"/>
      <c r="AU23" s="73">
        <f t="shared" si="7"/>
        <v>1000000</v>
      </c>
      <c r="AV23" s="73">
        <f t="shared" si="7"/>
        <v>1500000</v>
      </c>
      <c r="AW23" s="73">
        <f t="shared" si="7"/>
        <v>1500000</v>
      </c>
      <c r="AX23" s="73"/>
      <c r="AY23" s="73"/>
      <c r="AZ23" s="73"/>
      <c r="BA23" s="73"/>
      <c r="BB23" s="74">
        <f t="shared" si="8"/>
        <v>32200000</v>
      </c>
      <c r="BC23" s="113">
        <f t="shared" si="9"/>
        <v>52800000</v>
      </c>
    </row>
    <row r="24" spans="1:55" x14ac:dyDescent="0.25">
      <c r="A24" s="68">
        <v>20</v>
      </c>
      <c r="B24" s="68" t="s">
        <v>277</v>
      </c>
      <c r="C24" s="68" t="s">
        <v>280</v>
      </c>
      <c r="D24" s="67" t="s">
        <v>9</v>
      </c>
      <c r="E24" s="67" t="s">
        <v>9</v>
      </c>
      <c r="F24" s="67" t="s">
        <v>9</v>
      </c>
      <c r="G24" s="67" t="s">
        <v>9</v>
      </c>
      <c r="H24" s="67" t="s">
        <v>9</v>
      </c>
      <c r="I24" s="67" t="s">
        <v>9</v>
      </c>
      <c r="J24" s="67" t="s">
        <v>9</v>
      </c>
      <c r="K24" s="67" t="s">
        <v>9</v>
      </c>
      <c r="L24" s="67" t="s">
        <v>9</v>
      </c>
      <c r="M24" s="67" t="s">
        <v>9</v>
      </c>
      <c r="N24" s="67" t="s">
        <v>9</v>
      </c>
      <c r="O24" s="102" t="s">
        <v>9</v>
      </c>
      <c r="P24" s="70" t="s">
        <v>9</v>
      </c>
      <c r="Q24" s="70" t="s">
        <v>9</v>
      </c>
      <c r="R24" s="70" t="s">
        <v>9</v>
      </c>
      <c r="S24" s="70" t="s">
        <v>9</v>
      </c>
      <c r="T24" s="70"/>
      <c r="U24" s="70"/>
      <c r="V24" s="70" t="s">
        <v>9</v>
      </c>
      <c r="W24" s="70" t="s">
        <v>9</v>
      </c>
      <c r="X24" s="70" t="s">
        <v>9</v>
      </c>
      <c r="Y24" s="70"/>
      <c r="Z24" s="70"/>
      <c r="AA24" s="70"/>
      <c r="AB24" s="111">
        <v>3800000</v>
      </c>
      <c r="AC24" s="96">
        <v>8100000</v>
      </c>
      <c r="AD24" s="96">
        <v>8100000</v>
      </c>
      <c r="AE24" s="96">
        <v>8200000</v>
      </c>
      <c r="AF24" s="96"/>
      <c r="AG24" s="96"/>
      <c r="AH24" s="96">
        <v>1000000</v>
      </c>
      <c r="AI24" s="96">
        <v>1500000</v>
      </c>
      <c r="AJ24" s="96">
        <v>1500000</v>
      </c>
      <c r="AK24" s="96"/>
      <c r="AL24" s="96"/>
      <c r="AM24" s="96"/>
      <c r="AN24" s="96"/>
      <c r="AO24" s="73">
        <f t="shared" si="10"/>
        <v>3800000</v>
      </c>
      <c r="AP24" s="73">
        <f t="shared" si="7"/>
        <v>8100000</v>
      </c>
      <c r="AQ24" s="73">
        <f t="shared" si="7"/>
        <v>8100000</v>
      </c>
      <c r="AR24" s="73">
        <f t="shared" si="7"/>
        <v>8200000</v>
      </c>
      <c r="AS24" s="73"/>
      <c r="AT24" s="73"/>
      <c r="AU24" s="73">
        <f t="shared" si="7"/>
        <v>1000000</v>
      </c>
      <c r="AV24" s="73">
        <f t="shared" si="7"/>
        <v>1500000</v>
      </c>
      <c r="AW24" s="73">
        <f t="shared" si="7"/>
        <v>1500000</v>
      </c>
      <c r="AX24" s="73"/>
      <c r="AY24" s="73"/>
      <c r="AZ24" s="73"/>
      <c r="BA24" s="73"/>
      <c r="BB24" s="74">
        <f t="shared" si="8"/>
        <v>32200000</v>
      </c>
      <c r="BC24" s="113">
        <f t="shared" si="9"/>
        <v>52800000</v>
      </c>
    </row>
    <row r="25" spans="1:55" x14ac:dyDescent="0.25">
      <c r="A25" s="103">
        <v>21</v>
      </c>
      <c r="B25" s="68" t="s">
        <v>277</v>
      </c>
      <c r="C25" s="68" t="s">
        <v>281</v>
      </c>
      <c r="D25" s="67" t="s">
        <v>9</v>
      </c>
      <c r="E25" s="67" t="s">
        <v>9</v>
      </c>
      <c r="F25" s="67" t="s">
        <v>9</v>
      </c>
      <c r="G25" s="67" t="s">
        <v>9</v>
      </c>
      <c r="H25" s="67" t="s">
        <v>9</v>
      </c>
      <c r="I25" s="67" t="s">
        <v>9</v>
      </c>
      <c r="J25" s="67" t="s">
        <v>9</v>
      </c>
      <c r="K25" s="67" t="s">
        <v>9</v>
      </c>
      <c r="L25" s="67" t="s">
        <v>9</v>
      </c>
      <c r="M25" s="67" t="s">
        <v>9</v>
      </c>
      <c r="N25" s="67" t="s">
        <v>9</v>
      </c>
      <c r="O25" s="102" t="s">
        <v>9</v>
      </c>
      <c r="P25" s="70" t="s">
        <v>9</v>
      </c>
      <c r="Q25" s="70" t="s">
        <v>9</v>
      </c>
      <c r="R25" s="70" t="s">
        <v>9</v>
      </c>
      <c r="S25" s="70" t="s">
        <v>9</v>
      </c>
      <c r="T25" s="70"/>
      <c r="U25" s="70"/>
      <c r="V25" s="70" t="s">
        <v>9</v>
      </c>
      <c r="W25" s="70" t="s">
        <v>9</v>
      </c>
      <c r="X25" s="70" t="s">
        <v>9</v>
      </c>
      <c r="Y25" s="70"/>
      <c r="Z25" s="70"/>
      <c r="AA25" s="70"/>
      <c r="AB25" s="111">
        <v>3800000</v>
      </c>
      <c r="AC25" s="96">
        <v>8100000</v>
      </c>
      <c r="AD25" s="96">
        <v>8100000</v>
      </c>
      <c r="AE25" s="96">
        <v>8200000</v>
      </c>
      <c r="AF25" s="96"/>
      <c r="AG25" s="96"/>
      <c r="AH25" s="96">
        <v>1000000</v>
      </c>
      <c r="AI25" s="96">
        <v>1500000</v>
      </c>
      <c r="AJ25" s="96">
        <v>1500000</v>
      </c>
      <c r="AK25" s="96"/>
      <c r="AL25" s="96"/>
      <c r="AM25" s="96"/>
      <c r="AN25" s="96"/>
      <c r="AO25" s="73">
        <f t="shared" si="10"/>
        <v>3800000</v>
      </c>
      <c r="AP25" s="73">
        <f t="shared" si="7"/>
        <v>8100000</v>
      </c>
      <c r="AQ25" s="73">
        <f t="shared" si="7"/>
        <v>8100000</v>
      </c>
      <c r="AR25" s="73">
        <f t="shared" si="7"/>
        <v>8200000</v>
      </c>
      <c r="AS25" s="73"/>
      <c r="AT25" s="73"/>
      <c r="AU25" s="73">
        <f t="shared" si="7"/>
        <v>1000000</v>
      </c>
      <c r="AV25" s="73">
        <f t="shared" si="7"/>
        <v>1500000</v>
      </c>
      <c r="AW25" s="73">
        <f t="shared" si="7"/>
        <v>1500000</v>
      </c>
      <c r="AX25" s="73"/>
      <c r="AY25" s="73"/>
      <c r="AZ25" s="73"/>
      <c r="BA25" s="73"/>
      <c r="BB25" s="74">
        <f t="shared" si="8"/>
        <v>32200000</v>
      </c>
      <c r="BC25" s="113">
        <f t="shared" si="9"/>
        <v>52800000</v>
      </c>
    </row>
    <row r="26" spans="1:55" x14ac:dyDescent="0.25">
      <c r="A26" s="68">
        <v>22</v>
      </c>
      <c r="B26" s="68" t="s">
        <v>277</v>
      </c>
      <c r="C26" s="68" t="s">
        <v>282</v>
      </c>
      <c r="D26" s="67" t="s">
        <v>9</v>
      </c>
      <c r="E26" s="67" t="s">
        <v>9</v>
      </c>
      <c r="F26" s="67" t="s">
        <v>9</v>
      </c>
      <c r="G26" s="67" t="s">
        <v>9</v>
      </c>
      <c r="H26" s="67" t="s">
        <v>9</v>
      </c>
      <c r="I26" s="67" t="s">
        <v>9</v>
      </c>
      <c r="J26" s="67" t="s">
        <v>9</v>
      </c>
      <c r="K26" s="67" t="s">
        <v>9</v>
      </c>
      <c r="L26" s="67" t="s">
        <v>9</v>
      </c>
      <c r="M26" s="67" t="s">
        <v>9</v>
      </c>
      <c r="N26" s="67" t="s">
        <v>9</v>
      </c>
      <c r="O26" s="102" t="s">
        <v>9</v>
      </c>
      <c r="P26" s="70" t="s">
        <v>9</v>
      </c>
      <c r="Q26" s="70" t="s">
        <v>9</v>
      </c>
      <c r="R26" s="70" t="s">
        <v>9</v>
      </c>
      <c r="S26" s="70" t="s">
        <v>9</v>
      </c>
      <c r="T26" s="70"/>
      <c r="U26" s="70"/>
      <c r="V26" s="70" t="s">
        <v>9</v>
      </c>
      <c r="W26" s="70" t="s">
        <v>9</v>
      </c>
      <c r="X26" s="70" t="s">
        <v>9</v>
      </c>
      <c r="Y26" s="70"/>
      <c r="Z26" s="70"/>
      <c r="AA26" s="70"/>
      <c r="AB26" s="111">
        <v>3800000</v>
      </c>
      <c r="AC26" s="96">
        <v>8100000</v>
      </c>
      <c r="AD26" s="96">
        <v>8100000</v>
      </c>
      <c r="AE26" s="96">
        <v>8200000</v>
      </c>
      <c r="AF26" s="96"/>
      <c r="AG26" s="96"/>
      <c r="AH26" s="96">
        <v>1000000</v>
      </c>
      <c r="AI26" s="96">
        <v>1500000</v>
      </c>
      <c r="AJ26" s="96">
        <v>1500000</v>
      </c>
      <c r="AK26" s="96"/>
      <c r="AL26" s="96"/>
      <c r="AM26" s="96"/>
      <c r="AN26" s="96"/>
      <c r="AO26" s="73">
        <f t="shared" si="10"/>
        <v>3800000</v>
      </c>
      <c r="AP26" s="73">
        <f t="shared" si="7"/>
        <v>8100000</v>
      </c>
      <c r="AQ26" s="73">
        <f t="shared" si="7"/>
        <v>8100000</v>
      </c>
      <c r="AR26" s="73">
        <f t="shared" si="7"/>
        <v>8200000</v>
      </c>
      <c r="AS26" s="73"/>
      <c r="AT26" s="73"/>
      <c r="AU26" s="73">
        <f t="shared" si="7"/>
        <v>1000000</v>
      </c>
      <c r="AV26" s="73">
        <f t="shared" si="7"/>
        <v>1500000</v>
      </c>
      <c r="AW26" s="73">
        <f t="shared" si="7"/>
        <v>1500000</v>
      </c>
      <c r="AX26" s="73"/>
      <c r="AY26" s="73"/>
      <c r="AZ26" s="73"/>
      <c r="BA26" s="73"/>
      <c r="BB26" s="74">
        <f t="shared" si="8"/>
        <v>32200000</v>
      </c>
      <c r="BC26" s="113">
        <f t="shared" si="9"/>
        <v>52800000</v>
      </c>
    </row>
    <row r="27" spans="1:55" x14ac:dyDescent="0.25">
      <c r="A27" s="103">
        <v>23</v>
      </c>
      <c r="B27" s="68" t="s">
        <v>277</v>
      </c>
      <c r="C27" s="68" t="s">
        <v>283</v>
      </c>
      <c r="D27" s="67" t="s">
        <v>9</v>
      </c>
      <c r="E27" s="67" t="s">
        <v>9</v>
      </c>
      <c r="F27" s="67" t="s">
        <v>9</v>
      </c>
      <c r="G27" s="67" t="s">
        <v>9</v>
      </c>
      <c r="H27" s="67" t="s">
        <v>9</v>
      </c>
      <c r="I27" s="67" t="s">
        <v>9</v>
      </c>
      <c r="J27" s="67" t="s">
        <v>9</v>
      </c>
      <c r="K27" s="67" t="s">
        <v>9</v>
      </c>
      <c r="L27" s="67" t="s">
        <v>9</v>
      </c>
      <c r="M27" s="67" t="s">
        <v>9</v>
      </c>
      <c r="N27" s="67" t="s">
        <v>9</v>
      </c>
      <c r="O27" s="102" t="s">
        <v>9</v>
      </c>
      <c r="P27" s="70" t="s">
        <v>9</v>
      </c>
      <c r="Q27" s="70" t="s">
        <v>9</v>
      </c>
      <c r="R27" s="70" t="s">
        <v>9</v>
      </c>
      <c r="S27" s="70" t="s">
        <v>9</v>
      </c>
      <c r="T27" s="70"/>
      <c r="U27" s="70"/>
      <c r="V27" s="70" t="s">
        <v>9</v>
      </c>
      <c r="W27" s="70" t="s">
        <v>9</v>
      </c>
      <c r="X27" s="70" t="s">
        <v>9</v>
      </c>
      <c r="Y27" s="70"/>
      <c r="Z27" s="70"/>
      <c r="AA27" s="70"/>
      <c r="AB27" s="111">
        <v>3800000</v>
      </c>
      <c r="AC27" s="96">
        <v>8100000</v>
      </c>
      <c r="AD27" s="96">
        <v>8100000</v>
      </c>
      <c r="AE27" s="96"/>
      <c r="AF27" s="96"/>
      <c r="AG27" s="96"/>
      <c r="AH27" s="96">
        <v>1000000</v>
      </c>
      <c r="AI27" s="96">
        <v>1500000</v>
      </c>
      <c r="AJ27" s="96">
        <v>1500000</v>
      </c>
      <c r="AK27" s="96"/>
      <c r="AL27" s="96"/>
      <c r="AM27" s="96"/>
      <c r="AN27" s="96"/>
      <c r="AO27" s="73">
        <f t="shared" si="10"/>
        <v>3800000</v>
      </c>
      <c r="AP27" s="73">
        <f t="shared" si="7"/>
        <v>8100000</v>
      </c>
      <c r="AQ27" s="73">
        <f t="shared" si="7"/>
        <v>8100000</v>
      </c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4">
        <f t="shared" si="8"/>
        <v>20000000</v>
      </c>
      <c r="BC27" s="113">
        <f t="shared" si="9"/>
        <v>65000000</v>
      </c>
    </row>
    <row r="28" spans="1:55" x14ac:dyDescent="0.25">
      <c r="A28" s="68">
        <v>24</v>
      </c>
      <c r="B28" s="68" t="s">
        <v>277</v>
      </c>
      <c r="C28" s="68" t="s">
        <v>284</v>
      </c>
      <c r="D28" s="67" t="s">
        <v>9</v>
      </c>
      <c r="E28" s="67" t="s">
        <v>9</v>
      </c>
      <c r="F28" s="67" t="s">
        <v>9</v>
      </c>
      <c r="G28" s="67" t="s">
        <v>9</v>
      </c>
      <c r="H28" s="67" t="s">
        <v>9</v>
      </c>
      <c r="I28" s="67" t="s">
        <v>9</v>
      </c>
      <c r="J28" s="67" t="s">
        <v>9</v>
      </c>
      <c r="K28" s="67" t="s">
        <v>9</v>
      </c>
      <c r="L28" s="67" t="s">
        <v>9</v>
      </c>
      <c r="M28" s="67" t="s">
        <v>9</v>
      </c>
      <c r="N28" s="67" t="s">
        <v>9</v>
      </c>
      <c r="O28" s="102" t="s">
        <v>9</v>
      </c>
      <c r="P28" s="70" t="s">
        <v>9</v>
      </c>
      <c r="Q28" s="70" t="s">
        <v>9</v>
      </c>
      <c r="R28" s="70" t="s">
        <v>9</v>
      </c>
      <c r="S28" s="70" t="s">
        <v>9</v>
      </c>
      <c r="T28" s="70"/>
      <c r="U28" s="70"/>
      <c r="V28" s="70" t="s">
        <v>9</v>
      </c>
      <c r="W28" s="70" t="s">
        <v>9</v>
      </c>
      <c r="X28" s="70" t="s">
        <v>9</v>
      </c>
      <c r="Y28" s="70"/>
      <c r="Z28" s="70"/>
      <c r="AA28" s="70"/>
      <c r="AB28" s="111">
        <v>3800000</v>
      </c>
      <c r="AC28" s="96">
        <v>8100000</v>
      </c>
      <c r="AD28" s="96">
        <v>8100000</v>
      </c>
      <c r="AE28" s="96"/>
      <c r="AF28" s="96"/>
      <c r="AG28" s="96"/>
      <c r="AH28" s="96">
        <v>1000000</v>
      </c>
      <c r="AI28" s="96">
        <v>1500000</v>
      </c>
      <c r="AJ28" s="96">
        <v>1500000</v>
      </c>
      <c r="AK28" s="96"/>
      <c r="AL28" s="96"/>
      <c r="AM28" s="96"/>
      <c r="AN28" s="96"/>
      <c r="AO28" s="73">
        <f t="shared" si="10"/>
        <v>3800000</v>
      </c>
      <c r="AP28" s="73">
        <f t="shared" si="7"/>
        <v>8100000</v>
      </c>
      <c r="AQ28" s="73">
        <f t="shared" si="7"/>
        <v>8100000</v>
      </c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4">
        <f t="shared" si="8"/>
        <v>20000000</v>
      </c>
      <c r="BC28" s="113">
        <f t="shared" si="9"/>
        <v>65000000</v>
      </c>
    </row>
    <row r="29" spans="1:55" x14ac:dyDescent="0.25">
      <c r="A29" s="103">
        <v>25</v>
      </c>
      <c r="B29" s="68" t="s">
        <v>277</v>
      </c>
      <c r="C29" s="68" t="s">
        <v>285</v>
      </c>
      <c r="D29" s="67" t="s">
        <v>9</v>
      </c>
      <c r="E29" s="67" t="s">
        <v>9</v>
      </c>
      <c r="F29" s="67" t="s">
        <v>9</v>
      </c>
      <c r="G29" s="67" t="s">
        <v>9</v>
      </c>
      <c r="H29" s="67" t="s">
        <v>9</v>
      </c>
      <c r="I29" s="67" t="s">
        <v>9</v>
      </c>
      <c r="J29" s="67" t="s">
        <v>9</v>
      </c>
      <c r="K29" s="67" t="s">
        <v>9</v>
      </c>
      <c r="L29" s="67" t="s">
        <v>9</v>
      </c>
      <c r="M29" s="67" t="s">
        <v>9</v>
      </c>
      <c r="N29" s="67" t="s">
        <v>9</v>
      </c>
      <c r="O29" s="102" t="s">
        <v>9</v>
      </c>
      <c r="P29" s="70" t="s">
        <v>9</v>
      </c>
      <c r="Q29" s="70" t="s">
        <v>9</v>
      </c>
      <c r="R29" s="70" t="s">
        <v>9</v>
      </c>
      <c r="S29" s="70" t="s">
        <v>9</v>
      </c>
      <c r="T29" s="70"/>
      <c r="U29" s="70"/>
      <c r="V29" s="70" t="s">
        <v>9</v>
      </c>
      <c r="W29" s="70" t="s">
        <v>9</v>
      </c>
      <c r="X29" s="70" t="s">
        <v>9</v>
      </c>
      <c r="Y29" s="70"/>
      <c r="Z29" s="70"/>
      <c r="AA29" s="70"/>
      <c r="AB29" s="111">
        <v>3800000</v>
      </c>
      <c r="AC29" s="96"/>
      <c r="AD29" s="96">
        <v>8100000</v>
      </c>
      <c r="AE29" s="96"/>
      <c r="AF29" s="96"/>
      <c r="AG29" s="96"/>
      <c r="AH29" s="96">
        <v>1000000</v>
      </c>
      <c r="AI29" s="96">
        <v>1500000</v>
      </c>
      <c r="AJ29" s="96">
        <v>1500000</v>
      </c>
      <c r="AK29" s="96"/>
      <c r="AL29" s="96"/>
      <c r="AM29" s="96"/>
      <c r="AN29" s="96"/>
      <c r="AO29" s="73">
        <f t="shared" si="10"/>
        <v>3800000</v>
      </c>
      <c r="AP29" s="73"/>
      <c r="AQ29" s="73">
        <f t="shared" si="7"/>
        <v>8100000</v>
      </c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4">
        <f t="shared" si="8"/>
        <v>11900000</v>
      </c>
      <c r="BC29" s="113">
        <f t="shared" si="9"/>
        <v>73100000</v>
      </c>
    </row>
    <row r="30" spans="1:55" x14ac:dyDescent="0.25">
      <c r="A30" s="68">
        <v>26</v>
      </c>
      <c r="B30" s="68" t="s">
        <v>277</v>
      </c>
      <c r="C30" s="68" t="s">
        <v>286</v>
      </c>
      <c r="D30" s="67" t="s">
        <v>9</v>
      </c>
      <c r="E30" s="67" t="s">
        <v>9</v>
      </c>
      <c r="F30" s="67" t="s">
        <v>9</v>
      </c>
      <c r="G30" s="67" t="s">
        <v>9</v>
      </c>
      <c r="H30" s="67" t="s">
        <v>9</v>
      </c>
      <c r="I30" s="67" t="s">
        <v>9</v>
      </c>
      <c r="J30" s="67" t="s">
        <v>9</v>
      </c>
      <c r="K30" s="67" t="s">
        <v>9</v>
      </c>
      <c r="L30" s="67" t="s">
        <v>9</v>
      </c>
      <c r="M30" s="67" t="s">
        <v>9</v>
      </c>
      <c r="N30" s="67" t="s">
        <v>9</v>
      </c>
      <c r="O30" s="102" t="s">
        <v>9</v>
      </c>
      <c r="P30" s="70" t="s">
        <v>9</v>
      </c>
      <c r="Q30" s="70" t="s">
        <v>9</v>
      </c>
      <c r="R30" s="70" t="s">
        <v>9</v>
      </c>
      <c r="S30" s="70" t="s">
        <v>9</v>
      </c>
      <c r="T30" s="70"/>
      <c r="U30" s="70"/>
      <c r="V30" s="70" t="s">
        <v>9</v>
      </c>
      <c r="W30" s="70" t="s">
        <v>9</v>
      </c>
      <c r="X30" s="70" t="s">
        <v>9</v>
      </c>
      <c r="Y30" s="70"/>
      <c r="Z30" s="70"/>
      <c r="AA30" s="70"/>
      <c r="AB30" s="111">
        <v>3800000</v>
      </c>
      <c r="AC30" s="96"/>
      <c r="AD30" s="96">
        <v>8100000</v>
      </c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73">
        <f t="shared" si="10"/>
        <v>3800000</v>
      </c>
      <c r="AP30" s="73"/>
      <c r="AQ30" s="73">
        <f t="shared" si="7"/>
        <v>8100000</v>
      </c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4">
        <f t="shared" si="8"/>
        <v>11900000</v>
      </c>
      <c r="BC30" s="113">
        <f t="shared" si="9"/>
        <v>73100000</v>
      </c>
    </row>
    <row r="31" spans="1:55" x14ac:dyDescent="0.25">
      <c r="A31" s="103">
        <v>27</v>
      </c>
      <c r="B31" s="68" t="s">
        <v>336</v>
      </c>
      <c r="C31" s="68" t="s">
        <v>337</v>
      </c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193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194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195"/>
      <c r="BC31" s="196"/>
    </row>
    <row r="32" spans="1:55" x14ac:dyDescent="0.25">
      <c r="A32" s="68">
        <v>28</v>
      </c>
      <c r="B32" s="68" t="s">
        <v>336</v>
      </c>
      <c r="C32" s="68" t="s">
        <v>338</v>
      </c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193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194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195"/>
      <c r="BC32" s="196"/>
    </row>
    <row r="33" spans="1:55" x14ac:dyDescent="0.25">
      <c r="A33" s="103">
        <v>29</v>
      </c>
      <c r="B33" s="68" t="s">
        <v>336</v>
      </c>
      <c r="C33" s="68" t="s">
        <v>339</v>
      </c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193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194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195"/>
      <c r="BC33" s="196"/>
    </row>
    <row r="34" spans="1:55" x14ac:dyDescent="0.25">
      <c r="A34" s="68">
        <v>30</v>
      </c>
      <c r="B34" s="68" t="s">
        <v>336</v>
      </c>
      <c r="C34" s="68" t="s">
        <v>340</v>
      </c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193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194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195"/>
      <c r="BC34" s="196"/>
    </row>
    <row r="35" spans="1:55" x14ac:dyDescent="0.25">
      <c r="A35" s="103">
        <v>31</v>
      </c>
      <c r="B35" s="68" t="s">
        <v>336</v>
      </c>
      <c r="C35" s="68" t="s">
        <v>341</v>
      </c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193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194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195"/>
      <c r="BC35" s="196"/>
    </row>
    <row r="36" spans="1:55" x14ac:dyDescent="0.25">
      <c r="A36" s="68">
        <v>32</v>
      </c>
      <c r="B36" s="68" t="s">
        <v>336</v>
      </c>
      <c r="C36" s="68" t="s">
        <v>342</v>
      </c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193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194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195"/>
      <c r="BC36" s="196"/>
    </row>
    <row r="37" spans="1:55" x14ac:dyDescent="0.25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70"/>
      <c r="AC37" s="170"/>
      <c r="AD37" s="170"/>
      <c r="AE37" s="170"/>
      <c r="AF37" s="170"/>
      <c r="AG37" s="170"/>
      <c r="AH37" s="170"/>
      <c r="AI37" s="170"/>
      <c r="AJ37" s="170"/>
      <c r="AK37" s="170"/>
      <c r="AL37" s="170"/>
      <c r="AM37" s="170"/>
      <c r="AN37" s="170"/>
      <c r="AO37" s="169"/>
      <c r="AP37" s="170"/>
      <c r="AQ37" s="170"/>
      <c r="AR37" s="170"/>
      <c r="AS37" s="170"/>
      <c r="AT37" s="170"/>
      <c r="AU37" s="170"/>
      <c r="AV37" s="170"/>
      <c r="AW37" s="170"/>
      <c r="AX37" s="170"/>
      <c r="AY37" s="170"/>
      <c r="AZ37" s="170"/>
      <c r="BA37" s="170"/>
      <c r="BB37" s="171"/>
      <c r="BC37" s="172"/>
    </row>
    <row r="38" spans="1:55" x14ac:dyDescent="0.25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70"/>
      <c r="AC38" s="170"/>
      <c r="AD38" s="170"/>
      <c r="AE38" s="170"/>
      <c r="AF38" s="170"/>
      <c r="AG38" s="170"/>
      <c r="AH38" s="170"/>
      <c r="AI38" s="170"/>
      <c r="AJ38" s="170"/>
      <c r="AK38" s="170"/>
      <c r="AL38" s="170"/>
      <c r="AM38" s="170"/>
      <c r="AN38" s="170"/>
      <c r="AO38" s="169"/>
      <c r="AP38" s="170"/>
      <c r="AQ38" s="170"/>
      <c r="AR38" s="170"/>
      <c r="AS38" s="170"/>
      <c r="AT38" s="170"/>
      <c r="AU38" s="170"/>
      <c r="AV38" s="170"/>
      <c r="AW38" s="170"/>
      <c r="AX38" s="170"/>
      <c r="AY38" s="170"/>
      <c r="AZ38" s="170"/>
      <c r="BA38" s="170"/>
      <c r="BB38" s="171"/>
      <c r="BC38" s="172"/>
    </row>
    <row r="39" spans="1:55" s="59" customFormat="1" ht="15" customHeight="1" thickBot="1" x14ac:dyDescent="0.3">
      <c r="A39" s="459"/>
      <c r="B39" s="460"/>
      <c r="C39" s="460"/>
      <c r="D39" s="460"/>
      <c r="E39" s="460"/>
      <c r="F39" s="460"/>
      <c r="G39" s="460"/>
      <c r="H39" s="460"/>
      <c r="I39" s="460"/>
      <c r="J39" s="460"/>
      <c r="K39" s="460"/>
      <c r="L39" s="460"/>
      <c r="M39" s="460"/>
      <c r="N39" s="460"/>
      <c r="O39" s="460"/>
      <c r="P39" s="460"/>
      <c r="Q39" s="460"/>
      <c r="R39" s="460"/>
      <c r="S39" s="460"/>
      <c r="T39" s="460"/>
      <c r="U39" s="460"/>
      <c r="V39" s="460"/>
      <c r="W39" s="460"/>
      <c r="X39" s="460"/>
      <c r="Y39" s="460"/>
      <c r="Z39" s="460"/>
      <c r="AA39" s="460"/>
      <c r="AB39" s="460"/>
      <c r="AC39" s="460"/>
      <c r="AD39" s="460"/>
      <c r="AE39" s="460"/>
      <c r="AF39" s="460"/>
      <c r="AG39" s="460"/>
      <c r="AH39" s="460"/>
      <c r="AI39" s="460"/>
      <c r="AJ39" s="460"/>
      <c r="AK39" s="460"/>
      <c r="AL39" s="460"/>
      <c r="AM39" s="460"/>
      <c r="AN39" s="460"/>
      <c r="AO39" s="460"/>
      <c r="AP39" s="460"/>
      <c r="AQ39" s="460"/>
      <c r="AR39" s="460"/>
      <c r="AS39" s="460"/>
      <c r="AT39" s="460"/>
      <c r="AU39" s="460"/>
      <c r="AV39" s="460"/>
      <c r="AW39" s="460"/>
      <c r="AX39" s="460"/>
      <c r="AY39" s="460"/>
      <c r="AZ39" s="460"/>
      <c r="BA39" s="461"/>
      <c r="BB39" s="114">
        <f>SUM(BB5:BB30)</f>
        <v>1554200000</v>
      </c>
      <c r="BC39" s="114">
        <f>SUM(BC5:BC30)</f>
        <v>626400000</v>
      </c>
    </row>
  </sheetData>
  <autoFilter ref="A4:BC39"/>
  <mergeCells count="12">
    <mergeCell ref="A39:BA39"/>
    <mergeCell ref="P15:P21"/>
    <mergeCell ref="D15:D21"/>
    <mergeCell ref="AO15:AO21"/>
    <mergeCell ref="A2:A3"/>
    <mergeCell ref="B2:B3"/>
    <mergeCell ref="C2:C3"/>
    <mergeCell ref="D2:O2"/>
    <mergeCell ref="P2:AA2"/>
    <mergeCell ref="AO2:BC2"/>
    <mergeCell ref="AB2:AN2"/>
    <mergeCell ref="AB15:AB2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D9" sqref="D9"/>
    </sheetView>
  </sheetViews>
  <sheetFormatPr defaultRowHeight="13.8" x14ac:dyDescent="0.25"/>
  <cols>
    <col min="1" max="1" width="20.109375" style="56" customWidth="1"/>
    <col min="2" max="2" width="19.6640625" style="56" customWidth="1"/>
    <col min="3" max="16384" width="8.88671875" style="56"/>
  </cols>
  <sheetData>
    <row r="1" spans="1:2" x14ac:dyDescent="0.25">
      <c r="A1" s="485" t="s">
        <v>92</v>
      </c>
      <c r="B1" s="485"/>
    </row>
    <row r="2" spans="1:2" s="59" customFormat="1" x14ac:dyDescent="0.25">
      <c r="A2" s="60" t="s">
        <v>90</v>
      </c>
      <c r="B2" s="60" t="s">
        <v>91</v>
      </c>
    </row>
    <row r="3" spans="1:2" x14ac:dyDescent="0.25">
      <c r="A3" s="57" t="s">
        <v>82</v>
      </c>
      <c r="B3" s="57">
        <f>((5.5-0.2)*2+4.6)*2</f>
        <v>30.4</v>
      </c>
    </row>
    <row r="4" spans="1:2" x14ac:dyDescent="0.25">
      <c r="A4" s="57" t="s">
        <v>81</v>
      </c>
      <c r="B4" s="57">
        <f>(2.2+1.95+3.4+3.4-0.1-0.4*3)*(5-0.25*2)*2-0.6*0.6*3*2-1.7*1.2*2*2-2.2*0.9*2</f>
        <v>72.570000000000036</v>
      </c>
    </row>
    <row r="5" spans="1:2" x14ac:dyDescent="0.25">
      <c r="A5" s="57" t="s">
        <v>83</v>
      </c>
      <c r="B5" s="57">
        <f>10.8*4.6*2-3.2*2.35*2-3*2.6*2*2</f>
        <v>53.11999999999999</v>
      </c>
    </row>
    <row r="6" spans="1:2" x14ac:dyDescent="0.25">
      <c r="A6" s="57" t="s">
        <v>84</v>
      </c>
      <c r="B6" s="57">
        <f>(19.5-0.2*2-0.3*3)*3.6+2.9*3.6+18</f>
        <v>93.960000000000008</v>
      </c>
    </row>
    <row r="7" spans="1:2" x14ac:dyDescent="0.25">
      <c r="A7" s="57" t="s">
        <v>85</v>
      </c>
      <c r="B7" s="57">
        <f>((19.5-0.2*2-0.3*3)*3.1+4.8*3.1+2.9*3.6)*2</f>
        <v>163.48000000000002</v>
      </c>
    </row>
    <row r="8" spans="1:2" x14ac:dyDescent="0.25">
      <c r="A8" s="57" t="s">
        <v>86</v>
      </c>
      <c r="B8" s="57">
        <f>((5.5-0.2)*2+4.6)*1.1</f>
        <v>16.72</v>
      </c>
    </row>
    <row r="9" spans="1:2" x14ac:dyDescent="0.25">
      <c r="A9" s="57" t="s">
        <v>87</v>
      </c>
      <c r="B9" s="57">
        <f>4.6*2.2-0.9*2.15</f>
        <v>8.1849999999999987</v>
      </c>
    </row>
    <row r="10" spans="1:2" x14ac:dyDescent="0.25">
      <c r="A10" s="57" t="s">
        <v>88</v>
      </c>
      <c r="B10" s="57">
        <f>(5.1+5+4.3-0.3*3)*2.2*2+3.8*2.2+10</f>
        <v>77.759999999999991</v>
      </c>
    </row>
    <row r="11" spans="1:2" x14ac:dyDescent="0.25">
      <c r="A11" s="57" t="s">
        <v>89</v>
      </c>
      <c r="B11" s="57">
        <f>(4.1+4.8)*2*1.2+0.2*2*14+5</f>
        <v>31.959999999999997</v>
      </c>
    </row>
    <row r="12" spans="1:2" x14ac:dyDescent="0.25">
      <c r="A12" s="57"/>
      <c r="B12" s="58">
        <f>SUM(B3:B11)</f>
        <v>548.1550000000002</v>
      </c>
    </row>
  </sheetData>
  <mergeCells count="1">
    <mergeCell ref="A1:B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V103"/>
  <sheetViews>
    <sheetView tabSelected="1" workbookViewId="0">
      <pane xSplit="5" ySplit="4" topLeftCell="F5" activePane="bottomRight" state="frozen"/>
      <selection pane="topRight" activeCell="F1" sqref="F1"/>
      <selection pane="bottomLeft" activeCell="A4" sqref="A4"/>
      <selection pane="bottomRight" activeCell="G45" sqref="G45"/>
    </sheetView>
  </sheetViews>
  <sheetFormatPr defaultRowHeight="15.6" x14ac:dyDescent="0.3"/>
  <cols>
    <col min="1" max="1" width="5.44140625" style="62" customWidth="1"/>
    <col min="2" max="2" width="20.88671875" style="1" customWidth="1"/>
    <col min="3" max="3" width="27.21875" style="1" hidden="1" customWidth="1"/>
    <col min="4" max="4" width="7.77734375" style="3" customWidth="1"/>
    <col min="5" max="5" width="3.77734375" style="129" hidden="1" customWidth="1"/>
    <col min="6" max="6" width="3.44140625" style="176" customWidth="1"/>
    <col min="7" max="8" width="3.77734375" style="176" customWidth="1"/>
    <col min="9" max="9" width="4.21875" style="176" customWidth="1"/>
    <col min="10" max="12" width="3.77734375" style="176" customWidth="1"/>
    <col min="13" max="13" width="3.77734375" style="398" customWidth="1"/>
    <col min="14" max="67" width="3.77734375" style="176" customWidth="1"/>
    <col min="68" max="68" width="6.21875" style="176" customWidth="1"/>
    <col min="69" max="69" width="6.6640625" style="176" customWidth="1"/>
    <col min="70" max="70" width="6.21875" style="176" customWidth="1"/>
    <col min="71" max="71" width="10.88671875" style="1" customWidth="1"/>
    <col min="72" max="72" width="13.109375" style="1" customWidth="1"/>
    <col min="73" max="73" width="12.5546875" style="1" customWidth="1"/>
    <col min="74" max="74" width="22" style="1" customWidth="1"/>
    <col min="75" max="16384" width="8.88671875" style="1"/>
  </cols>
  <sheetData>
    <row r="1" spans="1:74" ht="18" thickBot="1" x14ac:dyDescent="0.35">
      <c r="A1" s="501" t="s">
        <v>398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</row>
    <row r="2" spans="1:74" ht="27.6" customHeight="1" thickBot="1" x14ac:dyDescent="0.35">
      <c r="A2" s="502"/>
      <c r="B2" s="502"/>
      <c r="C2" s="502"/>
      <c r="D2" s="502"/>
      <c r="E2" s="502"/>
      <c r="F2" s="503" t="s">
        <v>416</v>
      </c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 t="s">
        <v>417</v>
      </c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3"/>
      <c r="AO2" s="503"/>
      <c r="AP2" s="503"/>
      <c r="AQ2" s="503"/>
      <c r="AR2" s="503"/>
      <c r="AS2" s="503"/>
      <c r="AT2" s="503"/>
      <c r="AU2" s="503"/>
      <c r="AV2" s="503"/>
      <c r="AW2" s="503"/>
      <c r="AX2" s="503" t="s">
        <v>418</v>
      </c>
      <c r="AY2" s="503"/>
      <c r="AZ2" s="503"/>
      <c r="BA2" s="503"/>
      <c r="BB2" s="503"/>
      <c r="BC2" s="503"/>
      <c r="BD2" s="503"/>
      <c r="BE2" s="503"/>
      <c r="BF2" s="503"/>
      <c r="BG2" s="503"/>
      <c r="BH2" s="503"/>
      <c r="BI2" s="503"/>
      <c r="BJ2" s="503"/>
      <c r="BK2" s="503"/>
      <c r="BL2" s="503"/>
      <c r="BM2" s="503"/>
      <c r="BN2" s="503"/>
      <c r="BO2" s="503"/>
      <c r="BP2" s="502"/>
      <c r="BQ2" s="502"/>
      <c r="BR2" s="502"/>
      <c r="BS2" s="502"/>
      <c r="BT2" s="502"/>
      <c r="BU2" s="502"/>
    </row>
    <row r="3" spans="1:74" s="3" customFormat="1" x14ac:dyDescent="0.3">
      <c r="A3" s="414" t="s">
        <v>0</v>
      </c>
      <c r="B3" s="416" t="s">
        <v>1</v>
      </c>
      <c r="C3" s="416" t="s">
        <v>79</v>
      </c>
      <c r="D3" s="424" t="s">
        <v>358</v>
      </c>
      <c r="E3" s="22">
        <v>1</v>
      </c>
      <c r="F3" s="23">
        <v>18</v>
      </c>
      <c r="G3" s="23">
        <f t="shared" ref="G3:H3" si="0">F3+1</f>
        <v>19</v>
      </c>
      <c r="H3" s="23">
        <f t="shared" si="0"/>
        <v>20</v>
      </c>
      <c r="I3" s="23">
        <f t="shared" ref="I3" si="1">H3+1</f>
        <v>21</v>
      </c>
      <c r="J3" s="23">
        <f t="shared" ref="J3" si="2">I3+1</f>
        <v>22</v>
      </c>
      <c r="K3" s="23">
        <f t="shared" ref="K3" si="3">J3+1</f>
        <v>23</v>
      </c>
      <c r="L3" s="23">
        <f t="shared" ref="L3" si="4">K3+1</f>
        <v>24</v>
      </c>
      <c r="M3" s="23">
        <f t="shared" ref="M3" si="5">L3+1</f>
        <v>25</v>
      </c>
      <c r="N3" s="23">
        <f t="shared" ref="N3" si="6">M3+1</f>
        <v>26</v>
      </c>
      <c r="O3" s="23">
        <f t="shared" ref="O3" si="7">N3+1</f>
        <v>27</v>
      </c>
      <c r="P3" s="23">
        <f t="shared" ref="P3" si="8">O3+1</f>
        <v>28</v>
      </c>
      <c r="Q3" s="23">
        <f t="shared" ref="Q3" si="9">P3+1</f>
        <v>29</v>
      </c>
      <c r="R3" s="23">
        <f t="shared" ref="R3" si="10">Q3+1</f>
        <v>30</v>
      </c>
      <c r="S3" s="23">
        <f t="shared" ref="S3" si="11">R3+1</f>
        <v>31</v>
      </c>
      <c r="T3" s="23">
        <v>1</v>
      </c>
      <c r="U3" s="23">
        <v>2</v>
      </c>
      <c r="V3" s="23">
        <v>3</v>
      </c>
      <c r="W3" s="23">
        <v>4</v>
      </c>
      <c r="X3" s="23">
        <v>5</v>
      </c>
      <c r="Y3" s="23">
        <v>6</v>
      </c>
      <c r="Z3" s="23">
        <v>7</v>
      </c>
      <c r="AA3" s="23">
        <v>8</v>
      </c>
      <c r="AB3" s="23">
        <v>9</v>
      </c>
      <c r="AC3" s="23">
        <v>10</v>
      </c>
      <c r="AD3" s="23">
        <v>11</v>
      </c>
      <c r="AE3" s="23">
        <v>12</v>
      </c>
      <c r="AF3" s="23">
        <v>13</v>
      </c>
      <c r="AG3" s="23">
        <v>14</v>
      </c>
      <c r="AH3" s="23">
        <v>15</v>
      </c>
      <c r="AI3" s="23">
        <v>16</v>
      </c>
      <c r="AJ3" s="23">
        <v>17</v>
      </c>
      <c r="AK3" s="23">
        <v>18</v>
      </c>
      <c r="AL3" s="23">
        <v>19</v>
      </c>
      <c r="AM3" s="23">
        <v>20</v>
      </c>
      <c r="AN3" s="23">
        <v>21</v>
      </c>
      <c r="AO3" s="23">
        <v>22</v>
      </c>
      <c r="AP3" s="23">
        <v>23</v>
      </c>
      <c r="AQ3" s="23">
        <v>24</v>
      </c>
      <c r="AR3" s="23">
        <v>25</v>
      </c>
      <c r="AS3" s="23">
        <v>26</v>
      </c>
      <c r="AT3" s="23">
        <v>27</v>
      </c>
      <c r="AU3" s="23">
        <v>28</v>
      </c>
      <c r="AV3" s="23">
        <v>29</v>
      </c>
      <c r="AW3" s="23">
        <v>30</v>
      </c>
      <c r="AX3" s="23">
        <v>1</v>
      </c>
      <c r="AY3" s="23">
        <v>2</v>
      </c>
      <c r="AZ3" s="23">
        <v>3</v>
      </c>
      <c r="BA3" s="23">
        <v>4</v>
      </c>
      <c r="BB3" s="23">
        <v>5</v>
      </c>
      <c r="BC3" s="23">
        <v>6</v>
      </c>
      <c r="BD3" s="23">
        <v>7</v>
      </c>
      <c r="BE3" s="23">
        <v>8</v>
      </c>
      <c r="BF3" s="23">
        <v>9</v>
      </c>
      <c r="BG3" s="23">
        <v>10</v>
      </c>
      <c r="BH3" s="23">
        <v>11</v>
      </c>
      <c r="BI3" s="23">
        <v>12</v>
      </c>
      <c r="BJ3" s="23">
        <v>13</v>
      </c>
      <c r="BK3" s="23">
        <v>14</v>
      </c>
      <c r="BL3" s="23">
        <v>15</v>
      </c>
      <c r="BM3" s="23">
        <v>16</v>
      </c>
      <c r="BN3" s="23">
        <v>17</v>
      </c>
      <c r="BO3" s="23">
        <v>18</v>
      </c>
      <c r="BP3" s="432" t="s">
        <v>6</v>
      </c>
      <c r="BQ3" s="422" t="s">
        <v>7</v>
      </c>
      <c r="BR3" s="436" t="s">
        <v>357</v>
      </c>
      <c r="BS3" s="438" t="s">
        <v>30</v>
      </c>
      <c r="BT3" s="428" t="s">
        <v>33</v>
      </c>
      <c r="BU3" s="430" t="s">
        <v>127</v>
      </c>
    </row>
    <row r="4" spans="1:74" s="3" customFormat="1" ht="16.2" thickBot="1" x14ac:dyDescent="0.35">
      <c r="A4" s="415"/>
      <c r="B4" s="417"/>
      <c r="C4" s="417"/>
      <c r="D4" s="425"/>
      <c r="E4" s="125" t="s">
        <v>98</v>
      </c>
      <c r="F4" s="378" t="s">
        <v>94</v>
      </c>
      <c r="G4" s="213" t="s">
        <v>95</v>
      </c>
      <c r="H4" s="377" t="s">
        <v>97</v>
      </c>
      <c r="I4" s="379" t="s">
        <v>96</v>
      </c>
      <c r="J4" s="379" t="s">
        <v>98</v>
      </c>
      <c r="K4" s="379" t="s">
        <v>99</v>
      </c>
      <c r="L4" s="379" t="s">
        <v>93</v>
      </c>
      <c r="M4" s="396" t="s">
        <v>94</v>
      </c>
      <c r="N4" s="213" t="s">
        <v>95</v>
      </c>
      <c r="O4" s="377" t="s">
        <v>97</v>
      </c>
      <c r="P4" s="379" t="s">
        <v>96</v>
      </c>
      <c r="Q4" s="379" t="s">
        <v>98</v>
      </c>
      <c r="R4" s="379" t="s">
        <v>99</v>
      </c>
      <c r="S4" s="379" t="s">
        <v>93</v>
      </c>
      <c r="T4" s="378" t="s">
        <v>94</v>
      </c>
      <c r="U4" s="213" t="s">
        <v>95</v>
      </c>
      <c r="V4" s="377" t="s">
        <v>97</v>
      </c>
      <c r="W4" s="379" t="s">
        <v>96</v>
      </c>
      <c r="X4" s="379" t="s">
        <v>98</v>
      </c>
      <c r="Y4" s="379" t="s">
        <v>99</v>
      </c>
      <c r="Z4" s="379" t="s">
        <v>93</v>
      </c>
      <c r="AA4" s="378" t="s">
        <v>94</v>
      </c>
      <c r="AB4" s="213" t="s">
        <v>95</v>
      </c>
      <c r="AC4" s="377" t="s">
        <v>97</v>
      </c>
      <c r="AD4" s="379" t="s">
        <v>96</v>
      </c>
      <c r="AE4" s="379" t="s">
        <v>98</v>
      </c>
      <c r="AF4" s="379" t="s">
        <v>99</v>
      </c>
      <c r="AG4" s="379" t="s">
        <v>93</v>
      </c>
      <c r="AH4" s="378" t="s">
        <v>94</v>
      </c>
      <c r="AI4" s="213" t="s">
        <v>95</v>
      </c>
      <c r="AJ4" s="377" t="s">
        <v>97</v>
      </c>
      <c r="AK4" s="379" t="s">
        <v>96</v>
      </c>
      <c r="AL4" s="379" t="s">
        <v>98</v>
      </c>
      <c r="AM4" s="379" t="s">
        <v>99</v>
      </c>
      <c r="AN4" s="379" t="s">
        <v>93</v>
      </c>
      <c r="AO4" s="378" t="s">
        <v>94</v>
      </c>
      <c r="AP4" s="213" t="s">
        <v>95</v>
      </c>
      <c r="AQ4" s="377" t="s">
        <v>97</v>
      </c>
      <c r="AR4" s="379" t="s">
        <v>96</v>
      </c>
      <c r="AS4" s="379" t="s">
        <v>98</v>
      </c>
      <c r="AT4" s="379" t="s">
        <v>99</v>
      </c>
      <c r="AU4" s="379" t="s">
        <v>93</v>
      </c>
      <c r="AV4" s="378" t="s">
        <v>94</v>
      </c>
      <c r="AW4" s="213" t="s">
        <v>95</v>
      </c>
      <c r="AX4" s="377" t="s">
        <v>97</v>
      </c>
      <c r="AY4" s="379" t="s">
        <v>96</v>
      </c>
      <c r="AZ4" s="379" t="s">
        <v>98</v>
      </c>
      <c r="BA4" s="379" t="s">
        <v>99</v>
      </c>
      <c r="BB4" s="379" t="s">
        <v>93</v>
      </c>
      <c r="BC4" s="378" t="s">
        <v>94</v>
      </c>
      <c r="BD4" s="213" t="s">
        <v>95</v>
      </c>
      <c r="BE4" s="377" t="s">
        <v>97</v>
      </c>
      <c r="BF4" s="379" t="s">
        <v>96</v>
      </c>
      <c r="BG4" s="379" t="s">
        <v>98</v>
      </c>
      <c r="BH4" s="379" t="s">
        <v>99</v>
      </c>
      <c r="BI4" s="379" t="s">
        <v>93</v>
      </c>
      <c r="BJ4" s="378" t="s">
        <v>94</v>
      </c>
      <c r="BK4" s="213" t="s">
        <v>95</v>
      </c>
      <c r="BL4" s="377" t="s">
        <v>97</v>
      </c>
      <c r="BM4" s="379" t="s">
        <v>96</v>
      </c>
      <c r="BN4" s="379" t="s">
        <v>98</v>
      </c>
      <c r="BO4" s="379" t="s">
        <v>99</v>
      </c>
      <c r="BP4" s="433"/>
      <c r="BQ4" s="423"/>
      <c r="BR4" s="437"/>
      <c r="BS4" s="439"/>
      <c r="BT4" s="440"/>
      <c r="BU4" s="441"/>
    </row>
    <row r="5" spans="1:74" s="3" customFormat="1" x14ac:dyDescent="0.3">
      <c r="A5" s="130">
        <v>1</v>
      </c>
      <c r="B5" s="131" t="s">
        <v>2</v>
      </c>
      <c r="C5" s="132">
        <f>SUBTOTAL(103,C6:C23)</f>
        <v>15</v>
      </c>
      <c r="D5" s="201" t="s">
        <v>128</v>
      </c>
      <c r="E5" s="263"/>
      <c r="F5" s="135"/>
      <c r="G5" s="135"/>
      <c r="H5" s="135"/>
      <c r="I5" s="135"/>
      <c r="J5" s="135"/>
      <c r="K5" s="135"/>
      <c r="L5" s="135"/>
      <c r="M5" s="394"/>
      <c r="N5" s="135"/>
      <c r="O5" s="135"/>
      <c r="P5" s="135"/>
      <c r="Q5" s="135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137"/>
      <c r="BP5" s="240">
        <f t="shared" ref="BP5:BP36" si="12">COUNTIF(E5:H5,"X")</f>
        <v>0</v>
      </c>
      <c r="BQ5" s="123">
        <f>COUNTIF(E5:E5,"X/2")/2</f>
        <v>0</v>
      </c>
      <c r="BR5" s="272">
        <f t="shared" ref="BR5:BR68" si="13">SUM(BP5:BQ5)</f>
        <v>0</v>
      </c>
      <c r="BS5" s="268">
        <v>550000</v>
      </c>
      <c r="BT5" s="376">
        <f t="shared" ref="BT5:BT68" si="14">BR5*BS5</f>
        <v>0</v>
      </c>
      <c r="BU5" s="367"/>
      <c r="BV5" s="31"/>
    </row>
    <row r="6" spans="1:74" s="31" customFormat="1" x14ac:dyDescent="0.3">
      <c r="A6" s="61">
        <v>2</v>
      </c>
      <c r="B6" s="28" t="s">
        <v>36</v>
      </c>
      <c r="C6" s="48" t="s">
        <v>60</v>
      </c>
      <c r="D6" s="202" t="s">
        <v>4</v>
      </c>
      <c r="E6" s="41"/>
      <c r="F6" s="21"/>
      <c r="G6" s="21"/>
      <c r="H6" s="21"/>
      <c r="I6" s="21"/>
      <c r="J6" s="21"/>
      <c r="K6" s="21"/>
      <c r="L6" s="21"/>
      <c r="M6" s="146"/>
      <c r="N6" s="21"/>
      <c r="O6" s="21"/>
      <c r="P6" s="21"/>
      <c r="Q6" s="21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5"/>
      <c r="BP6" s="242">
        <f t="shared" si="12"/>
        <v>0</v>
      </c>
      <c r="BQ6" s="78">
        <f t="shared" ref="BQ6:BQ37" si="15">COUNTIF(E6:H6,"X/2")/2</f>
        <v>0</v>
      </c>
      <c r="BR6" s="273">
        <f t="shared" si="13"/>
        <v>0</v>
      </c>
      <c r="BS6" s="269">
        <v>380000</v>
      </c>
      <c r="BT6" s="52">
        <f t="shared" si="14"/>
        <v>0</v>
      </c>
      <c r="BU6" s="355"/>
    </row>
    <row r="7" spans="1:74" s="31" customFormat="1" x14ac:dyDescent="0.3">
      <c r="A7" s="61">
        <v>3</v>
      </c>
      <c r="B7" s="28" t="s">
        <v>35</v>
      </c>
      <c r="C7" s="48" t="s">
        <v>80</v>
      </c>
      <c r="D7" s="202" t="s">
        <v>4</v>
      </c>
      <c r="E7" s="41"/>
      <c r="F7" s="21"/>
      <c r="G7" s="21"/>
      <c r="H7" s="21"/>
      <c r="I7" s="21"/>
      <c r="J7" s="21"/>
      <c r="K7" s="21"/>
      <c r="L7" s="21"/>
      <c r="M7" s="146"/>
      <c r="N7" s="21"/>
      <c r="O7" s="21"/>
      <c r="P7" s="21"/>
      <c r="Q7" s="21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5"/>
      <c r="BP7" s="242">
        <f t="shared" si="12"/>
        <v>0</v>
      </c>
      <c r="BQ7" s="78">
        <f t="shared" si="15"/>
        <v>0</v>
      </c>
      <c r="BR7" s="273">
        <f t="shared" si="13"/>
        <v>0</v>
      </c>
      <c r="BS7" s="269">
        <v>370000</v>
      </c>
      <c r="BT7" s="52">
        <f t="shared" si="14"/>
        <v>0</v>
      </c>
      <c r="BU7" s="355"/>
    </row>
    <row r="8" spans="1:74" s="31" customFormat="1" x14ac:dyDescent="0.3">
      <c r="A8" s="61">
        <f t="shared" ref="A8:A71" si="16">A7+1</f>
        <v>4</v>
      </c>
      <c r="B8" s="28" t="s">
        <v>37</v>
      </c>
      <c r="C8" s="48" t="s">
        <v>60</v>
      </c>
      <c r="D8" s="202" t="s">
        <v>4</v>
      </c>
      <c r="E8" s="41"/>
      <c r="F8" s="21"/>
      <c r="G8" s="21"/>
      <c r="H8" s="21"/>
      <c r="I8" s="21"/>
      <c r="J8" s="21"/>
      <c r="K8" s="21"/>
      <c r="L8" s="21"/>
      <c r="M8" s="146"/>
      <c r="N8" s="21"/>
      <c r="O8" s="21"/>
      <c r="P8" s="21"/>
      <c r="Q8" s="21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5"/>
      <c r="BP8" s="242">
        <f t="shared" si="12"/>
        <v>0</v>
      </c>
      <c r="BQ8" s="78">
        <f t="shared" si="15"/>
        <v>0</v>
      </c>
      <c r="BR8" s="273">
        <f t="shared" si="13"/>
        <v>0</v>
      </c>
      <c r="BS8" s="269">
        <v>370000</v>
      </c>
      <c r="BT8" s="52">
        <f t="shared" si="14"/>
        <v>0</v>
      </c>
      <c r="BU8" s="356"/>
    </row>
    <row r="9" spans="1:74" s="31" customFormat="1" x14ac:dyDescent="0.3">
      <c r="A9" s="61">
        <f t="shared" si="16"/>
        <v>5</v>
      </c>
      <c r="B9" s="28" t="s">
        <v>38</v>
      </c>
      <c r="C9" s="48" t="s">
        <v>80</v>
      </c>
      <c r="D9" s="202" t="s">
        <v>17</v>
      </c>
      <c r="E9" s="41"/>
      <c r="F9" s="21" t="s">
        <v>9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5"/>
      <c r="BP9" s="242">
        <f>COUNTIF(E9:BO9,"X")</f>
        <v>1</v>
      </c>
      <c r="BQ9" s="78">
        <f>COUNTIF(E9:BO9,"X/2")/2</f>
        <v>0</v>
      </c>
      <c r="BR9" s="273">
        <f t="shared" si="13"/>
        <v>1</v>
      </c>
      <c r="BS9" s="269">
        <v>350000</v>
      </c>
      <c r="BT9" s="52">
        <f t="shared" si="14"/>
        <v>350000</v>
      </c>
      <c r="BU9" s="355"/>
    </row>
    <row r="10" spans="1:74" s="55" customFormat="1" x14ac:dyDescent="0.3">
      <c r="A10" s="294">
        <f t="shared" si="16"/>
        <v>6</v>
      </c>
      <c r="B10" s="158" t="s">
        <v>145</v>
      </c>
      <c r="C10" s="29" t="s">
        <v>60</v>
      </c>
      <c r="D10" s="203" t="s">
        <v>5</v>
      </c>
      <c r="E10" s="41"/>
      <c r="F10" s="21" t="s">
        <v>9</v>
      </c>
      <c r="G10" s="146" t="s">
        <v>9</v>
      </c>
      <c r="H10" s="146" t="s">
        <v>9</v>
      </c>
      <c r="I10" s="21"/>
      <c r="J10" s="21" t="s">
        <v>9</v>
      </c>
      <c r="K10" s="21"/>
      <c r="L10" s="21"/>
      <c r="M10" s="21" t="s">
        <v>9</v>
      </c>
      <c r="N10" s="21" t="s">
        <v>9</v>
      </c>
      <c r="O10" s="21"/>
      <c r="P10" s="21"/>
      <c r="Q10" s="21"/>
      <c r="R10" s="300" t="s">
        <v>9</v>
      </c>
      <c r="S10" s="300" t="s">
        <v>9</v>
      </c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5"/>
      <c r="BP10" s="242">
        <f>COUNTIF(E10:BO10,"X")</f>
        <v>8</v>
      </c>
      <c r="BQ10" s="78">
        <f t="shared" si="15"/>
        <v>0</v>
      </c>
      <c r="BR10" s="273">
        <f t="shared" si="13"/>
        <v>8</v>
      </c>
      <c r="BS10" s="269">
        <v>350000</v>
      </c>
      <c r="BT10" s="52">
        <f t="shared" si="14"/>
        <v>2800000</v>
      </c>
      <c r="BU10" s="358"/>
    </row>
    <row r="11" spans="1:74" s="31" customFormat="1" x14ac:dyDescent="0.3">
      <c r="A11" s="61">
        <f t="shared" si="16"/>
        <v>7</v>
      </c>
      <c r="B11" s="28" t="s">
        <v>34</v>
      </c>
      <c r="C11" s="48" t="s">
        <v>80</v>
      </c>
      <c r="D11" s="202" t="s">
        <v>5</v>
      </c>
      <c r="E11" s="41"/>
      <c r="F11" s="21"/>
      <c r="G11" s="21"/>
      <c r="H11" s="21"/>
      <c r="I11" s="21"/>
      <c r="J11" s="21"/>
      <c r="K11" s="21"/>
      <c r="L11" s="21"/>
      <c r="M11" s="146"/>
      <c r="N11" s="21"/>
      <c r="O11" s="21"/>
      <c r="P11" s="21"/>
      <c r="Q11" s="21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5"/>
      <c r="BP11" s="242">
        <f t="shared" si="12"/>
        <v>0</v>
      </c>
      <c r="BQ11" s="78">
        <f t="shared" si="15"/>
        <v>0</v>
      </c>
      <c r="BR11" s="273">
        <f t="shared" si="13"/>
        <v>0</v>
      </c>
      <c r="BS11" s="269">
        <v>300000</v>
      </c>
      <c r="BT11" s="52">
        <f t="shared" si="14"/>
        <v>0</v>
      </c>
      <c r="BU11" s="358"/>
    </row>
    <row r="12" spans="1:74" s="31" customFormat="1" x14ac:dyDescent="0.3">
      <c r="A12" s="61">
        <f t="shared" si="16"/>
        <v>8</v>
      </c>
      <c r="B12" s="28" t="s">
        <v>46</v>
      </c>
      <c r="C12" s="48" t="s">
        <v>60</v>
      </c>
      <c r="D12" s="202" t="s">
        <v>5</v>
      </c>
      <c r="E12" s="4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K12" s="210"/>
      <c r="BL12" s="210"/>
      <c r="BM12" s="210"/>
      <c r="BN12" s="210"/>
      <c r="BO12" s="25"/>
      <c r="BP12" s="242">
        <f>COUNTIF(E12:BO12,"X")</f>
        <v>0</v>
      </c>
      <c r="BQ12" s="78">
        <f t="shared" si="15"/>
        <v>0</v>
      </c>
      <c r="BR12" s="273">
        <f t="shared" si="13"/>
        <v>0</v>
      </c>
      <c r="BS12" s="269">
        <v>360000</v>
      </c>
      <c r="BT12" s="52">
        <f t="shared" si="14"/>
        <v>0</v>
      </c>
      <c r="BU12" s="355"/>
    </row>
    <row r="13" spans="1:74" s="31" customFormat="1" x14ac:dyDescent="0.3">
      <c r="A13" s="61">
        <f t="shared" si="16"/>
        <v>9</v>
      </c>
      <c r="B13" s="28" t="s">
        <v>42</v>
      </c>
      <c r="C13" s="48" t="s">
        <v>80</v>
      </c>
      <c r="D13" s="202" t="s">
        <v>4</v>
      </c>
      <c r="E13" s="41"/>
      <c r="F13" s="21"/>
      <c r="G13" s="21"/>
      <c r="H13" s="21"/>
      <c r="I13" s="21"/>
      <c r="J13" s="21"/>
      <c r="K13" s="21"/>
      <c r="L13" s="21"/>
      <c r="M13" s="146"/>
      <c r="N13" s="21"/>
      <c r="O13" s="21"/>
      <c r="P13" s="21"/>
      <c r="Q13" s="21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0"/>
      <c r="BF13" s="210"/>
      <c r="BG13" s="210"/>
      <c r="BH13" s="210"/>
      <c r="BI13" s="210"/>
      <c r="BJ13" s="210"/>
      <c r="BK13" s="210"/>
      <c r="BL13" s="210"/>
      <c r="BM13" s="210"/>
      <c r="BN13" s="210"/>
      <c r="BO13" s="25"/>
      <c r="BP13" s="242">
        <f t="shared" si="12"/>
        <v>0</v>
      </c>
      <c r="BQ13" s="78">
        <f t="shared" si="15"/>
        <v>0</v>
      </c>
      <c r="BR13" s="273">
        <f t="shared" si="13"/>
        <v>0</v>
      </c>
      <c r="BS13" s="269">
        <v>400000</v>
      </c>
      <c r="BT13" s="52">
        <f t="shared" si="14"/>
        <v>0</v>
      </c>
      <c r="BU13" s="355"/>
    </row>
    <row r="14" spans="1:74" s="31" customFormat="1" x14ac:dyDescent="0.3">
      <c r="A14" s="61">
        <v>10</v>
      </c>
      <c r="B14" s="28" t="s">
        <v>43</v>
      </c>
      <c r="C14" s="48" t="s">
        <v>80</v>
      </c>
      <c r="D14" s="202" t="s">
        <v>5</v>
      </c>
      <c r="E14" s="41"/>
      <c r="F14" s="21"/>
      <c r="G14" s="21"/>
      <c r="H14" s="21"/>
      <c r="I14" s="21"/>
      <c r="J14" s="21"/>
      <c r="K14" s="21"/>
      <c r="L14" s="21"/>
      <c r="M14" s="146"/>
      <c r="N14" s="21"/>
      <c r="O14" s="21"/>
      <c r="P14" s="21"/>
      <c r="Q14" s="21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5"/>
      <c r="BP14" s="242">
        <f t="shared" si="12"/>
        <v>0</v>
      </c>
      <c r="BQ14" s="78">
        <f t="shared" si="15"/>
        <v>0</v>
      </c>
      <c r="BR14" s="273">
        <f t="shared" si="13"/>
        <v>0</v>
      </c>
      <c r="BS14" s="269">
        <v>280000</v>
      </c>
      <c r="BT14" s="52">
        <f t="shared" si="14"/>
        <v>0</v>
      </c>
      <c r="BU14" s="355"/>
    </row>
    <row r="15" spans="1:74" s="31" customFormat="1" x14ac:dyDescent="0.3">
      <c r="A15" s="61">
        <f t="shared" si="16"/>
        <v>11</v>
      </c>
      <c r="B15" s="28" t="s">
        <v>41</v>
      </c>
      <c r="C15" s="48" t="s">
        <v>80</v>
      </c>
      <c r="D15" s="202" t="s">
        <v>4</v>
      </c>
      <c r="E15" s="41"/>
      <c r="F15" s="210" t="s">
        <v>8</v>
      </c>
      <c r="G15" s="210" t="s">
        <v>8</v>
      </c>
      <c r="H15" s="21" t="s">
        <v>9</v>
      </c>
      <c r="I15" s="35"/>
      <c r="J15" s="21" t="s">
        <v>9</v>
      </c>
      <c r="K15" s="21"/>
      <c r="L15" s="21"/>
      <c r="M15" s="21" t="s">
        <v>9</v>
      </c>
      <c r="N15" s="21" t="s">
        <v>9</v>
      </c>
      <c r="O15" s="21"/>
      <c r="P15" s="21"/>
      <c r="Q15" s="21"/>
      <c r="R15" s="210" t="s">
        <v>9</v>
      </c>
      <c r="S15" s="210" t="s">
        <v>9</v>
      </c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0"/>
      <c r="AY15" s="210"/>
      <c r="AZ15" s="210"/>
      <c r="BA15" s="210"/>
      <c r="BB15" s="210"/>
      <c r="BC15" s="210"/>
      <c r="BD15" s="210"/>
      <c r="BE15" s="210"/>
      <c r="BF15" s="210"/>
      <c r="BG15" s="210"/>
      <c r="BH15" s="210"/>
      <c r="BI15" s="210"/>
      <c r="BJ15" s="210"/>
      <c r="BK15" s="210"/>
      <c r="BL15" s="210"/>
      <c r="BM15" s="210"/>
      <c r="BN15" s="210"/>
      <c r="BO15" s="25"/>
      <c r="BP15" s="242">
        <f>COUNTIF(E15:BO15,"X")</f>
        <v>6</v>
      </c>
      <c r="BQ15" s="78">
        <f t="shared" si="15"/>
        <v>1</v>
      </c>
      <c r="BR15" s="273">
        <f t="shared" si="13"/>
        <v>7</v>
      </c>
      <c r="BS15" s="269">
        <v>400000</v>
      </c>
      <c r="BT15" s="52">
        <f t="shared" si="14"/>
        <v>2800000</v>
      </c>
      <c r="BU15" s="355"/>
    </row>
    <row r="16" spans="1:74" s="31" customFormat="1" x14ac:dyDescent="0.3">
      <c r="A16" s="61">
        <f t="shared" si="16"/>
        <v>12</v>
      </c>
      <c r="B16" s="28" t="s">
        <v>47</v>
      </c>
      <c r="C16" s="48"/>
      <c r="D16" s="202" t="s">
        <v>4</v>
      </c>
      <c r="E16" s="41"/>
      <c r="F16" s="21"/>
      <c r="G16" s="21"/>
      <c r="H16" s="21"/>
      <c r="I16" s="21"/>
      <c r="J16" s="21"/>
      <c r="K16" s="21"/>
      <c r="L16" s="21"/>
      <c r="M16" s="146"/>
      <c r="N16" s="21"/>
      <c r="O16" s="21"/>
      <c r="P16" s="21"/>
      <c r="Q16" s="21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5"/>
      <c r="BP16" s="242">
        <f t="shared" si="12"/>
        <v>0</v>
      </c>
      <c r="BQ16" s="78">
        <f t="shared" si="15"/>
        <v>0</v>
      </c>
      <c r="BR16" s="273">
        <f t="shared" si="13"/>
        <v>0</v>
      </c>
      <c r="BS16" s="269">
        <v>390000</v>
      </c>
      <c r="BT16" s="52">
        <f t="shared" si="14"/>
        <v>0</v>
      </c>
      <c r="BU16" s="355"/>
    </row>
    <row r="17" spans="1:73" s="31" customFormat="1" x14ac:dyDescent="0.3">
      <c r="A17" s="61">
        <f t="shared" si="16"/>
        <v>13</v>
      </c>
      <c r="B17" s="28" t="s">
        <v>61</v>
      </c>
      <c r="C17" s="48" t="s">
        <v>60</v>
      </c>
      <c r="D17" s="203" t="s">
        <v>4</v>
      </c>
      <c r="E17" s="41"/>
      <c r="F17" s="21"/>
      <c r="G17" s="21"/>
      <c r="H17" s="21"/>
      <c r="I17" s="21"/>
      <c r="J17" s="21"/>
      <c r="K17" s="21"/>
      <c r="L17" s="21"/>
      <c r="M17" s="146"/>
      <c r="N17" s="21"/>
      <c r="O17" s="21"/>
      <c r="P17" s="21"/>
      <c r="Q17" s="21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5"/>
      <c r="BP17" s="242">
        <f t="shared" si="12"/>
        <v>0</v>
      </c>
      <c r="BQ17" s="78">
        <f t="shared" si="15"/>
        <v>0</v>
      </c>
      <c r="BR17" s="273">
        <f t="shared" si="13"/>
        <v>0</v>
      </c>
      <c r="BS17" s="270">
        <v>370000</v>
      </c>
      <c r="BT17" s="52">
        <f t="shared" si="14"/>
        <v>0</v>
      </c>
      <c r="BU17" s="355"/>
    </row>
    <row r="18" spans="1:73" s="31" customFormat="1" x14ac:dyDescent="0.3">
      <c r="A18" s="61">
        <f t="shared" si="16"/>
        <v>14</v>
      </c>
      <c r="B18" s="28" t="s">
        <v>62</v>
      </c>
      <c r="C18" s="48"/>
      <c r="D18" s="203" t="s">
        <v>4</v>
      </c>
      <c r="E18" s="41"/>
      <c r="F18" s="21"/>
      <c r="G18" s="21"/>
      <c r="H18" s="21"/>
      <c r="I18" s="21"/>
      <c r="J18" s="21"/>
      <c r="K18" s="21"/>
      <c r="L18" s="21"/>
      <c r="M18" s="146"/>
      <c r="N18" s="21"/>
      <c r="O18" s="21"/>
      <c r="P18" s="21"/>
      <c r="Q18" s="21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5"/>
      <c r="BP18" s="242">
        <f t="shared" si="12"/>
        <v>0</v>
      </c>
      <c r="BQ18" s="78">
        <f t="shared" si="15"/>
        <v>0</v>
      </c>
      <c r="BR18" s="273">
        <f t="shared" si="13"/>
        <v>0</v>
      </c>
      <c r="BS18" s="270">
        <v>360000</v>
      </c>
      <c r="BT18" s="52">
        <f t="shared" si="14"/>
        <v>0</v>
      </c>
      <c r="BU18" s="355"/>
    </row>
    <row r="19" spans="1:73" s="31" customFormat="1" x14ac:dyDescent="0.3">
      <c r="A19" s="61">
        <f t="shared" si="16"/>
        <v>15</v>
      </c>
      <c r="B19" s="28" t="s">
        <v>63</v>
      </c>
      <c r="C19" s="48" t="s">
        <v>60</v>
      </c>
      <c r="D19" s="203" t="s">
        <v>4</v>
      </c>
      <c r="E19" s="41"/>
      <c r="F19" s="21"/>
      <c r="G19" s="21"/>
      <c r="H19" s="21"/>
      <c r="I19" s="21"/>
      <c r="J19" s="21"/>
      <c r="K19" s="21"/>
      <c r="L19" s="21"/>
      <c r="M19" s="146"/>
      <c r="N19" s="21"/>
      <c r="O19" s="21"/>
      <c r="P19" s="21"/>
      <c r="Q19" s="21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5"/>
      <c r="BP19" s="242">
        <f t="shared" si="12"/>
        <v>0</v>
      </c>
      <c r="BQ19" s="78">
        <f t="shared" si="15"/>
        <v>0</v>
      </c>
      <c r="BR19" s="273">
        <f t="shared" si="13"/>
        <v>0</v>
      </c>
      <c r="BS19" s="270">
        <v>380000</v>
      </c>
      <c r="BT19" s="52">
        <f t="shared" si="14"/>
        <v>0</v>
      </c>
      <c r="BU19" s="355"/>
    </row>
    <row r="20" spans="1:73" s="31" customFormat="1" x14ac:dyDescent="0.3">
      <c r="A20" s="61">
        <f t="shared" si="16"/>
        <v>16</v>
      </c>
      <c r="B20" s="28" t="s">
        <v>59</v>
      </c>
      <c r="C20" s="48" t="s">
        <v>60</v>
      </c>
      <c r="D20" s="203" t="s">
        <v>5</v>
      </c>
      <c r="E20" s="41"/>
      <c r="F20" s="21"/>
      <c r="G20" s="21"/>
      <c r="H20" s="21"/>
      <c r="I20" s="21"/>
      <c r="J20" s="21"/>
      <c r="K20" s="21"/>
      <c r="L20" s="21"/>
      <c r="M20" s="146"/>
      <c r="N20" s="21"/>
      <c r="O20" s="21"/>
      <c r="P20" s="21"/>
      <c r="Q20" s="21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5"/>
      <c r="BP20" s="242">
        <f t="shared" si="12"/>
        <v>0</v>
      </c>
      <c r="BQ20" s="78">
        <f t="shared" si="15"/>
        <v>0</v>
      </c>
      <c r="BR20" s="273">
        <f t="shared" si="13"/>
        <v>0</v>
      </c>
      <c r="BS20" s="270">
        <v>270000</v>
      </c>
      <c r="BT20" s="52">
        <f t="shared" si="14"/>
        <v>0</v>
      </c>
      <c r="BU20" s="355"/>
    </row>
    <row r="21" spans="1:73" s="31" customFormat="1" x14ac:dyDescent="0.3">
      <c r="A21" s="61">
        <f t="shared" si="16"/>
        <v>17</v>
      </c>
      <c r="B21" s="28" t="s">
        <v>64</v>
      </c>
      <c r="C21" s="48" t="s">
        <v>60</v>
      </c>
      <c r="D21" s="203" t="s">
        <v>4</v>
      </c>
      <c r="E21" s="41"/>
      <c r="F21" s="21"/>
      <c r="G21" s="21"/>
      <c r="H21" s="21"/>
      <c r="I21" s="21"/>
      <c r="J21" s="21"/>
      <c r="K21" s="21"/>
      <c r="L21" s="21"/>
      <c r="M21" s="146"/>
      <c r="N21" s="21"/>
      <c r="O21" s="21"/>
      <c r="P21" s="21"/>
      <c r="Q21" s="21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5"/>
      <c r="BP21" s="242">
        <f t="shared" si="12"/>
        <v>0</v>
      </c>
      <c r="BQ21" s="78">
        <f t="shared" si="15"/>
        <v>0</v>
      </c>
      <c r="BR21" s="273">
        <f t="shared" si="13"/>
        <v>0</v>
      </c>
      <c r="BS21" s="270">
        <v>380000</v>
      </c>
      <c r="BT21" s="52">
        <f t="shared" si="14"/>
        <v>0</v>
      </c>
      <c r="BU21" s="355"/>
    </row>
    <row r="22" spans="1:73" s="55" customFormat="1" x14ac:dyDescent="0.3">
      <c r="A22" s="61">
        <f t="shared" si="16"/>
        <v>18</v>
      </c>
      <c r="B22" s="158" t="s">
        <v>65</v>
      </c>
      <c r="C22" s="29" t="s">
        <v>60</v>
      </c>
      <c r="D22" s="203" t="s">
        <v>4</v>
      </c>
      <c r="E22" s="41"/>
      <c r="F22" s="21"/>
      <c r="G22" s="21"/>
      <c r="H22" s="21"/>
      <c r="I22" s="21"/>
      <c r="J22" s="21"/>
      <c r="K22" s="21"/>
      <c r="L22" s="21"/>
      <c r="M22" s="146"/>
      <c r="N22" s="21"/>
      <c r="O22" s="21"/>
      <c r="P22" s="21"/>
      <c r="Q22" s="21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5"/>
      <c r="BP22" s="242">
        <f t="shared" si="12"/>
        <v>0</v>
      </c>
      <c r="BQ22" s="78">
        <f t="shared" si="15"/>
        <v>0</v>
      </c>
      <c r="BR22" s="273">
        <f t="shared" si="13"/>
        <v>0</v>
      </c>
      <c r="BS22" s="270">
        <v>370000</v>
      </c>
      <c r="BT22" s="52">
        <f t="shared" si="14"/>
        <v>0</v>
      </c>
      <c r="BU22" s="358"/>
    </row>
    <row r="23" spans="1:73" s="31" customFormat="1" x14ac:dyDescent="0.3">
      <c r="A23" s="61">
        <f t="shared" si="16"/>
        <v>19</v>
      </c>
      <c r="B23" s="48" t="s">
        <v>126</v>
      </c>
      <c r="C23" s="48"/>
      <c r="D23" s="204" t="s">
        <v>5</v>
      </c>
      <c r="E23" s="4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5"/>
      <c r="BP23" s="242">
        <f t="shared" ref="BP23:BP24" si="17">COUNTIF(E23:BO23,"X")</f>
        <v>0</v>
      </c>
      <c r="BQ23" s="78">
        <f t="shared" si="15"/>
        <v>0</v>
      </c>
      <c r="BR23" s="273">
        <f t="shared" si="13"/>
        <v>0</v>
      </c>
      <c r="BS23" s="269">
        <v>280000</v>
      </c>
      <c r="BT23" s="52">
        <f t="shared" si="14"/>
        <v>0</v>
      </c>
      <c r="BU23" s="355"/>
    </row>
    <row r="24" spans="1:73" s="31" customFormat="1" x14ac:dyDescent="0.3">
      <c r="A24" s="61">
        <f t="shared" si="16"/>
        <v>20</v>
      </c>
      <c r="B24" s="116" t="s">
        <v>143</v>
      </c>
      <c r="C24" s="116"/>
      <c r="D24" s="205" t="s">
        <v>4</v>
      </c>
      <c r="E24" s="41"/>
      <c r="F24" s="21" t="s">
        <v>9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5"/>
      <c r="BP24" s="242">
        <f t="shared" si="17"/>
        <v>1</v>
      </c>
      <c r="BQ24" s="78">
        <f t="shared" si="15"/>
        <v>0</v>
      </c>
      <c r="BR24" s="273">
        <f t="shared" si="13"/>
        <v>1</v>
      </c>
      <c r="BS24" s="270">
        <v>380000</v>
      </c>
      <c r="BT24" s="52">
        <f t="shared" si="14"/>
        <v>380000</v>
      </c>
      <c r="BU24" s="359"/>
    </row>
    <row r="25" spans="1:73" s="31" customFormat="1" x14ac:dyDescent="0.3">
      <c r="A25" s="61">
        <f t="shared" si="16"/>
        <v>21</v>
      </c>
      <c r="B25" s="116" t="s">
        <v>144</v>
      </c>
      <c r="C25" s="116"/>
      <c r="D25" s="205" t="s">
        <v>4</v>
      </c>
      <c r="E25" s="41"/>
      <c r="F25" s="21"/>
      <c r="G25" s="21"/>
      <c r="H25" s="21"/>
      <c r="I25" s="21"/>
      <c r="J25" s="21"/>
      <c r="K25" s="21"/>
      <c r="L25" s="21"/>
      <c r="M25" s="146"/>
      <c r="N25" s="21"/>
      <c r="O25" s="21"/>
      <c r="P25" s="21"/>
      <c r="Q25" s="21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5"/>
      <c r="BP25" s="242">
        <f t="shared" si="12"/>
        <v>0</v>
      </c>
      <c r="BQ25" s="78">
        <f t="shared" si="15"/>
        <v>0</v>
      </c>
      <c r="BR25" s="273">
        <f t="shared" si="13"/>
        <v>0</v>
      </c>
      <c r="BS25" s="270">
        <v>280000</v>
      </c>
      <c r="BT25" s="52">
        <f t="shared" si="14"/>
        <v>0</v>
      </c>
      <c r="BU25" s="359"/>
    </row>
    <row r="26" spans="1:73" s="31" customFormat="1" x14ac:dyDescent="0.3">
      <c r="A26" s="61">
        <f t="shared" si="16"/>
        <v>22</v>
      </c>
      <c r="B26" s="116" t="s">
        <v>164</v>
      </c>
      <c r="C26" s="116"/>
      <c r="D26" s="205" t="s">
        <v>5</v>
      </c>
      <c r="E26" s="127"/>
      <c r="F26" s="21"/>
      <c r="G26" s="21"/>
      <c r="H26" s="21"/>
      <c r="I26" s="21"/>
      <c r="J26" s="21"/>
      <c r="K26" s="21"/>
      <c r="L26" s="21"/>
      <c r="M26" s="146"/>
      <c r="N26" s="21"/>
      <c r="O26" s="21"/>
      <c r="P26" s="21"/>
      <c r="Q26" s="21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5"/>
      <c r="BP26" s="242">
        <f t="shared" si="12"/>
        <v>0</v>
      </c>
      <c r="BQ26" s="78">
        <f t="shared" si="15"/>
        <v>0</v>
      </c>
      <c r="BR26" s="273">
        <f t="shared" si="13"/>
        <v>0</v>
      </c>
      <c r="BS26" s="270">
        <v>270000</v>
      </c>
      <c r="BT26" s="52">
        <f t="shared" si="14"/>
        <v>0</v>
      </c>
      <c r="BU26" s="359"/>
    </row>
    <row r="27" spans="1:73" s="31" customFormat="1" x14ac:dyDescent="0.3">
      <c r="A27" s="61">
        <f t="shared" si="16"/>
        <v>23</v>
      </c>
      <c r="B27" s="116" t="s">
        <v>171</v>
      </c>
      <c r="C27" s="116"/>
      <c r="D27" s="205" t="s">
        <v>5</v>
      </c>
      <c r="E27" s="127"/>
      <c r="F27" s="21"/>
      <c r="G27" s="21"/>
      <c r="H27" s="21"/>
      <c r="I27" s="21"/>
      <c r="J27" s="21"/>
      <c r="K27" s="21"/>
      <c r="L27" s="21"/>
      <c r="M27" s="146"/>
      <c r="N27" s="21"/>
      <c r="O27" s="21"/>
      <c r="P27" s="21"/>
      <c r="Q27" s="21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5"/>
      <c r="BP27" s="242">
        <f t="shared" si="12"/>
        <v>0</v>
      </c>
      <c r="BQ27" s="78">
        <f t="shared" si="15"/>
        <v>0</v>
      </c>
      <c r="BR27" s="273">
        <f t="shared" si="13"/>
        <v>0</v>
      </c>
      <c r="BS27" s="270">
        <v>280000</v>
      </c>
      <c r="BT27" s="53">
        <f t="shared" si="14"/>
        <v>0</v>
      </c>
      <c r="BU27" s="359"/>
    </row>
    <row r="28" spans="1:73" s="31" customFormat="1" x14ac:dyDescent="0.3">
      <c r="A28" s="61">
        <f t="shared" si="16"/>
        <v>24</v>
      </c>
      <c r="B28" s="116" t="s">
        <v>172</v>
      </c>
      <c r="C28" s="116"/>
      <c r="D28" s="205" t="s">
        <v>4</v>
      </c>
      <c r="E28" s="233"/>
      <c r="F28" s="32"/>
      <c r="G28" s="32"/>
      <c r="H28" s="32"/>
      <c r="I28" s="32"/>
      <c r="J28" s="32"/>
      <c r="K28" s="32"/>
      <c r="L28" s="32"/>
      <c r="M28" s="280"/>
      <c r="N28" s="32"/>
      <c r="O28" s="32"/>
      <c r="P28" s="32"/>
      <c r="Q28" s="32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/>
      <c r="BO28" s="33"/>
      <c r="BP28" s="242">
        <f t="shared" si="12"/>
        <v>0</v>
      </c>
      <c r="BQ28" s="78">
        <f t="shared" si="15"/>
        <v>0</v>
      </c>
      <c r="BR28" s="273">
        <f t="shared" si="13"/>
        <v>0</v>
      </c>
      <c r="BS28" s="270">
        <v>370000</v>
      </c>
      <c r="BT28" s="53">
        <f t="shared" si="14"/>
        <v>0</v>
      </c>
      <c r="BU28" s="359"/>
    </row>
    <row r="29" spans="1:73" s="55" customFormat="1" x14ac:dyDescent="0.3">
      <c r="A29" s="294">
        <v>25</v>
      </c>
      <c r="B29" s="159" t="s">
        <v>194</v>
      </c>
      <c r="C29" s="159"/>
      <c r="D29" s="206" t="s">
        <v>4</v>
      </c>
      <c r="E29" s="127"/>
      <c r="F29" s="32"/>
      <c r="G29" s="32"/>
      <c r="H29" s="32"/>
      <c r="I29" s="32"/>
      <c r="J29" s="32"/>
      <c r="K29" s="32"/>
      <c r="L29" s="32"/>
      <c r="M29" s="280"/>
      <c r="N29" s="32"/>
      <c r="O29" s="32"/>
      <c r="P29" s="32"/>
      <c r="Q29" s="32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33"/>
      <c r="BP29" s="242">
        <f t="shared" si="12"/>
        <v>0</v>
      </c>
      <c r="BQ29" s="78">
        <f t="shared" si="15"/>
        <v>0</v>
      </c>
      <c r="BR29" s="273">
        <f t="shared" si="13"/>
        <v>0</v>
      </c>
      <c r="BS29" s="270">
        <v>400000</v>
      </c>
      <c r="BT29" s="53">
        <f t="shared" si="14"/>
        <v>0</v>
      </c>
      <c r="BU29" s="364"/>
    </row>
    <row r="30" spans="1:73" s="55" customFormat="1" x14ac:dyDescent="0.3">
      <c r="A30" s="294">
        <f t="shared" si="16"/>
        <v>26</v>
      </c>
      <c r="B30" s="159" t="s">
        <v>220</v>
      </c>
      <c r="C30" s="159"/>
      <c r="D30" s="206" t="s">
        <v>4</v>
      </c>
      <c r="E30" s="127"/>
      <c r="F30" s="32"/>
      <c r="G30" s="32"/>
      <c r="H30" s="32"/>
      <c r="I30" s="32"/>
      <c r="J30" s="32"/>
      <c r="K30" s="32"/>
      <c r="L30" s="32"/>
      <c r="M30" s="280"/>
      <c r="N30" s="32"/>
      <c r="O30" s="32"/>
      <c r="P30" s="32"/>
      <c r="Q30" s="32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1"/>
      <c r="BK30" s="211"/>
      <c r="BL30" s="211"/>
      <c r="BM30" s="211"/>
      <c r="BN30" s="211"/>
      <c r="BO30" s="33"/>
      <c r="BP30" s="242">
        <f t="shared" si="12"/>
        <v>0</v>
      </c>
      <c r="BQ30" s="78">
        <f t="shared" si="15"/>
        <v>0</v>
      </c>
      <c r="BR30" s="273">
        <f t="shared" si="13"/>
        <v>0</v>
      </c>
      <c r="BS30" s="270">
        <v>370000</v>
      </c>
      <c r="BT30" s="53">
        <f t="shared" si="14"/>
        <v>0</v>
      </c>
      <c r="BU30" s="364"/>
    </row>
    <row r="31" spans="1:73" s="55" customFormat="1" x14ac:dyDescent="0.3">
      <c r="A31" s="294">
        <f t="shared" si="16"/>
        <v>27</v>
      </c>
      <c r="B31" s="159" t="s">
        <v>221</v>
      </c>
      <c r="C31" s="159"/>
      <c r="D31" s="206" t="s">
        <v>4</v>
      </c>
      <c r="E31" s="127"/>
      <c r="F31" s="32"/>
      <c r="G31" s="32"/>
      <c r="H31" s="32"/>
      <c r="I31" s="32"/>
      <c r="J31" s="32"/>
      <c r="K31" s="32"/>
      <c r="L31" s="32"/>
      <c r="M31" s="280"/>
      <c r="N31" s="32"/>
      <c r="O31" s="32"/>
      <c r="P31" s="32"/>
      <c r="Q31" s="32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33"/>
      <c r="BP31" s="242">
        <f t="shared" si="12"/>
        <v>0</v>
      </c>
      <c r="BQ31" s="78">
        <f t="shared" si="15"/>
        <v>0</v>
      </c>
      <c r="BR31" s="273">
        <f t="shared" si="13"/>
        <v>0</v>
      </c>
      <c r="BS31" s="270">
        <v>380000</v>
      </c>
      <c r="BT31" s="53">
        <f t="shared" si="14"/>
        <v>0</v>
      </c>
      <c r="BU31" s="361"/>
    </row>
    <row r="32" spans="1:73" s="31" customFormat="1" x14ac:dyDescent="0.3">
      <c r="A32" s="61">
        <f t="shared" si="16"/>
        <v>28</v>
      </c>
      <c r="B32" s="48" t="s">
        <v>222</v>
      </c>
      <c r="C32" s="48"/>
      <c r="D32" s="204" t="s">
        <v>4</v>
      </c>
      <c r="E32" s="41"/>
      <c r="F32" s="32"/>
      <c r="G32" s="32"/>
      <c r="H32" s="32"/>
      <c r="I32" s="32"/>
      <c r="J32" s="32" t="s">
        <v>9</v>
      </c>
      <c r="K32" s="32"/>
      <c r="L32" s="32"/>
      <c r="M32" s="32" t="s">
        <v>9</v>
      </c>
      <c r="N32" s="32"/>
      <c r="O32" s="32"/>
      <c r="P32" s="32"/>
      <c r="Q32" s="32"/>
      <c r="R32" s="211" t="s">
        <v>9</v>
      </c>
      <c r="S32" s="282" t="s">
        <v>9</v>
      </c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 t="s">
        <v>9</v>
      </c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1"/>
      <c r="BK32" s="211"/>
      <c r="BL32" s="211"/>
      <c r="BM32" s="211"/>
      <c r="BN32" s="211"/>
      <c r="BO32" s="33"/>
      <c r="BP32" s="242">
        <f>COUNTIF(E32:BO32,"X")</f>
        <v>5</v>
      </c>
      <c r="BQ32" s="78">
        <f t="shared" si="15"/>
        <v>0</v>
      </c>
      <c r="BR32" s="273">
        <f t="shared" si="13"/>
        <v>5</v>
      </c>
      <c r="BS32" s="270">
        <v>360000</v>
      </c>
      <c r="BT32" s="53">
        <f t="shared" si="14"/>
        <v>1800000</v>
      </c>
      <c r="BU32" s="359"/>
    </row>
    <row r="33" spans="1:74" s="31" customFormat="1" x14ac:dyDescent="0.3">
      <c r="A33" s="61">
        <f t="shared" si="16"/>
        <v>29</v>
      </c>
      <c r="B33" s="116" t="s">
        <v>223</v>
      </c>
      <c r="C33" s="116"/>
      <c r="D33" s="205" t="s">
        <v>5</v>
      </c>
      <c r="E33" s="41"/>
      <c r="F33" s="32"/>
      <c r="G33" s="32"/>
      <c r="H33" s="32"/>
      <c r="I33" s="32"/>
      <c r="J33" s="32"/>
      <c r="K33" s="32"/>
      <c r="L33" s="32"/>
      <c r="M33" s="280"/>
      <c r="N33" s="32"/>
      <c r="O33" s="32"/>
      <c r="P33" s="32"/>
      <c r="Q33" s="32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11"/>
      <c r="BO33" s="33"/>
      <c r="BP33" s="242">
        <f t="shared" si="12"/>
        <v>0</v>
      </c>
      <c r="BQ33" s="78">
        <f t="shared" si="15"/>
        <v>0</v>
      </c>
      <c r="BR33" s="273">
        <f t="shared" si="13"/>
        <v>0</v>
      </c>
      <c r="BS33" s="270">
        <v>280000</v>
      </c>
      <c r="BT33" s="53">
        <f>BR33*BS33</f>
        <v>0</v>
      </c>
      <c r="BU33" s="359"/>
    </row>
    <row r="34" spans="1:74" s="31" customFormat="1" x14ac:dyDescent="0.3">
      <c r="A34" s="61">
        <f>A33+1</f>
        <v>30</v>
      </c>
      <c r="B34" s="116" t="s">
        <v>224</v>
      </c>
      <c r="C34" s="116"/>
      <c r="D34" s="205" t="s">
        <v>4</v>
      </c>
      <c r="E34" s="127"/>
      <c r="F34" s="32"/>
      <c r="G34" s="32"/>
      <c r="H34" s="32"/>
      <c r="I34" s="32"/>
      <c r="J34" s="32"/>
      <c r="K34" s="32"/>
      <c r="L34" s="32"/>
      <c r="M34" s="280"/>
      <c r="N34" s="32"/>
      <c r="O34" s="32"/>
      <c r="P34" s="32"/>
      <c r="Q34" s="32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33"/>
      <c r="BP34" s="242">
        <f t="shared" si="12"/>
        <v>0</v>
      </c>
      <c r="BQ34" s="78">
        <f t="shared" si="15"/>
        <v>0</v>
      </c>
      <c r="BR34" s="273">
        <f t="shared" si="13"/>
        <v>0</v>
      </c>
      <c r="BS34" s="270">
        <v>370000</v>
      </c>
      <c r="BT34" s="53">
        <f t="shared" si="14"/>
        <v>0</v>
      </c>
      <c r="BU34" s="359"/>
    </row>
    <row r="35" spans="1:74" s="31" customFormat="1" x14ac:dyDescent="0.3">
      <c r="A35" s="61">
        <f t="shared" si="16"/>
        <v>31</v>
      </c>
      <c r="B35" s="116" t="s">
        <v>225</v>
      </c>
      <c r="C35" s="116"/>
      <c r="D35" s="205" t="s">
        <v>5</v>
      </c>
      <c r="E35" s="127"/>
      <c r="F35" s="32"/>
      <c r="G35" s="32"/>
      <c r="H35" s="32"/>
      <c r="I35" s="32"/>
      <c r="J35" s="32"/>
      <c r="K35" s="32"/>
      <c r="L35" s="32"/>
      <c r="M35" s="280"/>
      <c r="N35" s="32"/>
      <c r="O35" s="32"/>
      <c r="P35" s="32"/>
      <c r="Q35" s="32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  <c r="BM35" s="211"/>
      <c r="BN35" s="211"/>
      <c r="BO35" s="33"/>
      <c r="BP35" s="242">
        <f t="shared" si="12"/>
        <v>0</v>
      </c>
      <c r="BQ35" s="78">
        <f t="shared" si="15"/>
        <v>0</v>
      </c>
      <c r="BR35" s="273">
        <f t="shared" si="13"/>
        <v>0</v>
      </c>
      <c r="BS35" s="270">
        <v>270000</v>
      </c>
      <c r="BT35" s="53">
        <f t="shared" si="14"/>
        <v>0</v>
      </c>
      <c r="BU35" s="359"/>
    </row>
    <row r="36" spans="1:74" s="31" customFormat="1" x14ac:dyDescent="0.3">
      <c r="A36" s="61">
        <f t="shared" si="16"/>
        <v>32</v>
      </c>
      <c r="B36" s="116" t="s">
        <v>226</v>
      </c>
      <c r="C36" s="116"/>
      <c r="D36" s="205" t="s">
        <v>4</v>
      </c>
      <c r="E36" s="127"/>
      <c r="F36" s="32"/>
      <c r="G36" s="32"/>
      <c r="H36" s="32"/>
      <c r="I36" s="32"/>
      <c r="J36" s="32"/>
      <c r="K36" s="32"/>
      <c r="L36" s="32"/>
      <c r="M36" s="280"/>
      <c r="N36" s="32"/>
      <c r="O36" s="32"/>
      <c r="P36" s="32"/>
      <c r="Q36" s="32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  <c r="BM36" s="211"/>
      <c r="BN36" s="211"/>
      <c r="BO36" s="33"/>
      <c r="BP36" s="242">
        <f t="shared" si="12"/>
        <v>0</v>
      </c>
      <c r="BQ36" s="78">
        <f t="shared" si="15"/>
        <v>0</v>
      </c>
      <c r="BR36" s="273">
        <f t="shared" si="13"/>
        <v>0</v>
      </c>
      <c r="BS36" s="270">
        <v>360000</v>
      </c>
      <c r="BT36" s="53">
        <f t="shared" si="14"/>
        <v>0</v>
      </c>
      <c r="BU36" s="359"/>
    </row>
    <row r="37" spans="1:74" s="55" customFormat="1" ht="19.2" customHeight="1" x14ac:dyDescent="0.3">
      <c r="A37" s="294">
        <f t="shared" si="16"/>
        <v>33</v>
      </c>
      <c r="B37" s="159" t="s">
        <v>229</v>
      </c>
      <c r="C37" s="159"/>
      <c r="D37" s="206" t="s">
        <v>5</v>
      </c>
      <c r="E37" s="127"/>
      <c r="F37" s="32"/>
      <c r="G37" s="32"/>
      <c r="H37" s="32"/>
      <c r="I37" s="32"/>
      <c r="J37" s="32"/>
      <c r="K37" s="32"/>
      <c r="L37" s="32"/>
      <c r="M37" s="280"/>
      <c r="N37" s="32"/>
      <c r="O37" s="32"/>
      <c r="P37" s="32"/>
      <c r="Q37" s="32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211"/>
      <c r="BN37" s="211"/>
      <c r="BO37" s="33"/>
      <c r="BP37" s="242">
        <f t="shared" ref="BP37:BP68" si="18">COUNTIF(E37:H37,"X")</f>
        <v>0</v>
      </c>
      <c r="BQ37" s="78">
        <f t="shared" si="15"/>
        <v>0</v>
      </c>
      <c r="BR37" s="273">
        <f t="shared" si="13"/>
        <v>0</v>
      </c>
      <c r="BS37" s="270">
        <v>280000</v>
      </c>
      <c r="BT37" s="53">
        <f>BR37*BS37</f>
        <v>0</v>
      </c>
      <c r="BU37" s="362"/>
      <c r="BV37" s="295"/>
    </row>
    <row r="38" spans="1:74" s="55" customFormat="1" x14ac:dyDescent="0.3">
      <c r="A38" s="61">
        <f t="shared" si="16"/>
        <v>34</v>
      </c>
      <c r="B38" s="159" t="s">
        <v>230</v>
      </c>
      <c r="C38" s="159"/>
      <c r="D38" s="206" t="s">
        <v>5</v>
      </c>
      <c r="E38" s="127"/>
      <c r="F38" s="32"/>
      <c r="G38" s="32"/>
      <c r="H38" s="32"/>
      <c r="I38" s="32"/>
      <c r="J38" s="32"/>
      <c r="K38" s="32"/>
      <c r="L38" s="32"/>
      <c r="M38" s="280"/>
      <c r="N38" s="32"/>
      <c r="O38" s="32"/>
      <c r="P38" s="32"/>
      <c r="Q38" s="32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33"/>
      <c r="BP38" s="242">
        <f t="shared" si="18"/>
        <v>0</v>
      </c>
      <c r="BQ38" s="78">
        <f t="shared" ref="BQ38:BQ69" si="19">COUNTIF(E38:H38,"X/2")/2</f>
        <v>0</v>
      </c>
      <c r="BR38" s="273">
        <f t="shared" si="13"/>
        <v>0</v>
      </c>
      <c r="BS38" s="270">
        <v>260000</v>
      </c>
      <c r="BT38" s="53">
        <f t="shared" si="14"/>
        <v>0</v>
      </c>
      <c r="BU38" s="362"/>
    </row>
    <row r="39" spans="1:74" s="31" customFormat="1" x14ac:dyDescent="0.3">
      <c r="A39" s="61">
        <f t="shared" si="16"/>
        <v>35</v>
      </c>
      <c r="B39" s="116" t="s">
        <v>231</v>
      </c>
      <c r="C39" s="116"/>
      <c r="D39" s="205" t="s">
        <v>4</v>
      </c>
      <c r="E39" s="127"/>
      <c r="F39" s="32"/>
      <c r="G39" s="32"/>
      <c r="H39" s="32"/>
      <c r="I39" s="32"/>
      <c r="J39" s="32"/>
      <c r="K39" s="32"/>
      <c r="L39" s="32"/>
      <c r="M39" s="280"/>
      <c r="N39" s="32"/>
      <c r="O39" s="32"/>
      <c r="P39" s="32"/>
      <c r="Q39" s="32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  <c r="BM39" s="211"/>
      <c r="BN39" s="211"/>
      <c r="BO39" s="33"/>
      <c r="BP39" s="242">
        <f t="shared" si="18"/>
        <v>0</v>
      </c>
      <c r="BQ39" s="78">
        <f t="shared" si="19"/>
        <v>0</v>
      </c>
      <c r="BR39" s="273">
        <f t="shared" si="13"/>
        <v>0</v>
      </c>
      <c r="BS39" s="270">
        <v>360000</v>
      </c>
      <c r="BT39" s="53">
        <f t="shared" si="14"/>
        <v>0</v>
      </c>
      <c r="BU39" s="359"/>
    </row>
    <row r="40" spans="1:74" s="31" customFormat="1" x14ac:dyDescent="0.3">
      <c r="A40" s="61">
        <f t="shared" si="16"/>
        <v>36</v>
      </c>
      <c r="B40" s="116" t="s">
        <v>232</v>
      </c>
      <c r="C40" s="116"/>
      <c r="D40" s="205" t="s">
        <v>4</v>
      </c>
      <c r="E40" s="127"/>
      <c r="F40" s="32"/>
      <c r="G40" s="32"/>
      <c r="H40" s="32"/>
      <c r="I40" s="32"/>
      <c r="J40" s="32"/>
      <c r="K40" s="32"/>
      <c r="L40" s="32"/>
      <c r="M40" s="280"/>
      <c r="N40" s="32"/>
      <c r="O40" s="32"/>
      <c r="P40" s="32"/>
      <c r="Q40" s="32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33"/>
      <c r="BP40" s="242">
        <f t="shared" si="18"/>
        <v>0</v>
      </c>
      <c r="BQ40" s="78">
        <f t="shared" si="19"/>
        <v>0</v>
      </c>
      <c r="BR40" s="273">
        <f t="shared" si="13"/>
        <v>0</v>
      </c>
      <c r="BS40" s="270">
        <v>360000</v>
      </c>
      <c r="BT40" s="53">
        <f t="shared" si="14"/>
        <v>0</v>
      </c>
      <c r="BU40" s="359"/>
    </row>
    <row r="41" spans="1:74" s="31" customFormat="1" x14ac:dyDescent="0.3">
      <c r="A41" s="61">
        <f t="shared" si="16"/>
        <v>37</v>
      </c>
      <c r="B41" s="116" t="s">
        <v>233</v>
      </c>
      <c r="C41" s="116"/>
      <c r="D41" s="205" t="s">
        <v>5</v>
      </c>
      <c r="E41" s="127"/>
      <c r="F41" s="32"/>
      <c r="G41" s="32"/>
      <c r="H41" s="32"/>
      <c r="I41" s="32"/>
      <c r="J41" s="32"/>
      <c r="K41" s="32"/>
      <c r="L41" s="32"/>
      <c r="M41" s="280"/>
      <c r="N41" s="32"/>
      <c r="O41" s="32"/>
      <c r="P41" s="32"/>
      <c r="Q41" s="32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  <c r="BM41" s="211"/>
      <c r="BN41" s="211"/>
      <c r="BO41" s="33"/>
      <c r="BP41" s="242">
        <f t="shared" si="18"/>
        <v>0</v>
      </c>
      <c r="BQ41" s="78">
        <f t="shared" si="19"/>
        <v>0</v>
      </c>
      <c r="BR41" s="273">
        <f t="shared" si="13"/>
        <v>0</v>
      </c>
      <c r="BS41" s="270">
        <v>260000</v>
      </c>
      <c r="BT41" s="53">
        <f t="shared" si="14"/>
        <v>0</v>
      </c>
      <c r="BU41" s="359"/>
    </row>
    <row r="42" spans="1:74" s="31" customFormat="1" x14ac:dyDescent="0.3">
      <c r="A42" s="61">
        <f t="shared" si="16"/>
        <v>38</v>
      </c>
      <c r="B42" s="116" t="s">
        <v>45</v>
      </c>
      <c r="C42" s="116"/>
      <c r="D42" s="205" t="s">
        <v>4</v>
      </c>
      <c r="E42" s="127"/>
      <c r="F42" s="32"/>
      <c r="G42" s="32"/>
      <c r="H42" s="32"/>
      <c r="I42" s="32"/>
      <c r="J42" s="32"/>
      <c r="K42" s="32"/>
      <c r="L42" s="32"/>
      <c r="M42" s="280"/>
      <c r="N42" s="32"/>
      <c r="O42" s="32"/>
      <c r="P42" s="32"/>
      <c r="Q42" s="32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33"/>
      <c r="BP42" s="242">
        <f t="shared" si="18"/>
        <v>0</v>
      </c>
      <c r="BQ42" s="78">
        <f t="shared" si="19"/>
        <v>0</v>
      </c>
      <c r="BR42" s="273">
        <f t="shared" si="13"/>
        <v>0</v>
      </c>
      <c r="BS42" s="270">
        <v>370000</v>
      </c>
      <c r="BT42" s="53">
        <f t="shared" si="14"/>
        <v>0</v>
      </c>
      <c r="BU42" s="359"/>
    </row>
    <row r="43" spans="1:74" s="31" customFormat="1" x14ac:dyDescent="0.3">
      <c r="A43" s="61">
        <f t="shared" si="16"/>
        <v>39</v>
      </c>
      <c r="B43" s="116" t="s">
        <v>236</v>
      </c>
      <c r="C43" s="116"/>
      <c r="D43" s="205" t="s">
        <v>5</v>
      </c>
      <c r="E43" s="127"/>
      <c r="F43" s="32"/>
      <c r="G43" s="32"/>
      <c r="H43" s="32"/>
      <c r="I43" s="32"/>
      <c r="J43" s="32"/>
      <c r="K43" s="32"/>
      <c r="L43" s="32"/>
      <c r="M43" s="280"/>
      <c r="N43" s="32"/>
      <c r="O43" s="32"/>
      <c r="P43" s="32"/>
      <c r="Q43" s="32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33"/>
      <c r="BP43" s="242">
        <f t="shared" si="18"/>
        <v>0</v>
      </c>
      <c r="BQ43" s="78">
        <f t="shared" si="19"/>
        <v>0</v>
      </c>
      <c r="BR43" s="273">
        <f t="shared" si="13"/>
        <v>0</v>
      </c>
      <c r="BS43" s="270">
        <v>270000</v>
      </c>
      <c r="BT43" s="53">
        <f t="shared" si="14"/>
        <v>0</v>
      </c>
      <c r="BU43" s="359"/>
    </row>
    <row r="44" spans="1:74" s="55" customFormat="1" ht="19.2" customHeight="1" x14ac:dyDescent="0.3">
      <c r="A44" s="294">
        <f t="shared" si="16"/>
        <v>40</v>
      </c>
      <c r="B44" s="159" t="s">
        <v>235</v>
      </c>
      <c r="C44" s="159"/>
      <c r="D44" s="206" t="s">
        <v>4</v>
      </c>
      <c r="E44" s="127"/>
      <c r="F44" s="32"/>
      <c r="G44" s="32" t="s">
        <v>9</v>
      </c>
      <c r="H44" s="32"/>
      <c r="I44" s="32"/>
      <c r="J44" s="32"/>
      <c r="K44" s="32"/>
      <c r="L44" s="32"/>
      <c r="M44" s="32" t="s">
        <v>9</v>
      </c>
      <c r="N44" s="32" t="s">
        <v>9</v>
      </c>
      <c r="O44" s="32"/>
      <c r="P44" s="32"/>
      <c r="Q44" s="32"/>
      <c r="R44" s="211" t="s">
        <v>9</v>
      </c>
      <c r="S44" s="211" t="s">
        <v>9</v>
      </c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 t="s">
        <v>9</v>
      </c>
      <c r="AS44" s="211" t="s">
        <v>9</v>
      </c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33"/>
      <c r="BP44" s="242">
        <f t="shared" ref="BP44:BP45" si="20">COUNTIF(E44:BO44,"X")</f>
        <v>7</v>
      </c>
      <c r="BQ44" s="78">
        <f t="shared" si="19"/>
        <v>0</v>
      </c>
      <c r="BR44" s="273">
        <f t="shared" si="13"/>
        <v>7</v>
      </c>
      <c r="BS44" s="270">
        <v>370000</v>
      </c>
      <c r="BT44" s="53">
        <f>BR44*BS44</f>
        <v>2590000</v>
      </c>
      <c r="BU44" s="362"/>
      <c r="BV44" s="295"/>
    </row>
    <row r="45" spans="1:74" s="31" customFormat="1" x14ac:dyDescent="0.3">
      <c r="A45" s="61">
        <f t="shared" si="16"/>
        <v>41</v>
      </c>
      <c r="B45" s="116" t="s">
        <v>237</v>
      </c>
      <c r="C45" s="116"/>
      <c r="D45" s="205" t="s">
        <v>5</v>
      </c>
      <c r="E45" s="127"/>
      <c r="F45" s="32"/>
      <c r="G45" s="32" t="s">
        <v>9</v>
      </c>
      <c r="H45" s="32"/>
      <c r="I45" s="32"/>
      <c r="J45" s="32"/>
      <c r="K45" s="32"/>
      <c r="L45" s="32"/>
      <c r="M45" s="32" t="s">
        <v>9</v>
      </c>
      <c r="N45" s="32" t="s">
        <v>9</v>
      </c>
      <c r="O45" s="32"/>
      <c r="P45" s="32"/>
      <c r="Q45" s="32"/>
      <c r="R45" s="211" t="s">
        <v>9</v>
      </c>
      <c r="S45" s="211" t="s">
        <v>9</v>
      </c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 t="s">
        <v>9</v>
      </c>
      <c r="AS45" s="211" t="s">
        <v>9</v>
      </c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33"/>
      <c r="BP45" s="242">
        <f t="shared" si="20"/>
        <v>7</v>
      </c>
      <c r="BQ45" s="78">
        <f t="shared" si="19"/>
        <v>0</v>
      </c>
      <c r="BR45" s="273">
        <f t="shared" si="13"/>
        <v>7</v>
      </c>
      <c r="BS45" s="270">
        <v>270000</v>
      </c>
      <c r="BT45" s="53">
        <f t="shared" si="14"/>
        <v>1890000</v>
      </c>
      <c r="BU45" s="359"/>
    </row>
    <row r="46" spans="1:74" s="31" customFormat="1" x14ac:dyDescent="0.3">
      <c r="A46" s="61">
        <f t="shared" si="16"/>
        <v>42</v>
      </c>
      <c r="B46" s="116" t="s">
        <v>238</v>
      </c>
      <c r="C46" s="116"/>
      <c r="D46" s="205" t="s">
        <v>5</v>
      </c>
      <c r="E46" s="127"/>
      <c r="F46" s="32"/>
      <c r="G46" s="32"/>
      <c r="H46" s="32"/>
      <c r="I46" s="32"/>
      <c r="J46" s="32"/>
      <c r="K46" s="32"/>
      <c r="L46" s="32"/>
      <c r="M46" s="280"/>
      <c r="N46" s="32"/>
      <c r="O46" s="32"/>
      <c r="P46" s="32"/>
      <c r="Q46" s="32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  <c r="BM46" s="211"/>
      <c r="BN46" s="211"/>
      <c r="BO46" s="33"/>
      <c r="BP46" s="242">
        <f t="shared" si="18"/>
        <v>0</v>
      </c>
      <c r="BQ46" s="78">
        <f t="shared" si="19"/>
        <v>0</v>
      </c>
      <c r="BR46" s="273">
        <f t="shared" si="13"/>
        <v>0</v>
      </c>
      <c r="BS46" s="270">
        <v>270000</v>
      </c>
      <c r="BT46" s="53">
        <f t="shared" si="14"/>
        <v>0</v>
      </c>
      <c r="BU46" s="359"/>
    </row>
    <row r="47" spans="1:74" s="31" customFormat="1" x14ac:dyDescent="0.3">
      <c r="A47" s="61">
        <f t="shared" si="16"/>
        <v>43</v>
      </c>
      <c r="B47" s="48" t="s">
        <v>239</v>
      </c>
      <c r="C47" s="48"/>
      <c r="D47" s="204" t="s">
        <v>5</v>
      </c>
      <c r="E47" s="41"/>
      <c r="F47" s="21"/>
      <c r="G47" s="21"/>
      <c r="H47" s="21"/>
      <c r="I47" s="21"/>
      <c r="J47" s="21"/>
      <c r="K47" s="21"/>
      <c r="L47" s="21"/>
      <c r="M47" s="146"/>
      <c r="N47" s="21"/>
      <c r="O47" s="21"/>
      <c r="P47" s="21"/>
      <c r="Q47" s="21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0"/>
      <c r="AY47" s="210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  <c r="BN47" s="210"/>
      <c r="BO47" s="25"/>
      <c r="BP47" s="242">
        <f t="shared" si="18"/>
        <v>0</v>
      </c>
      <c r="BQ47" s="78">
        <f t="shared" si="19"/>
        <v>0</v>
      </c>
      <c r="BR47" s="273">
        <f t="shared" si="13"/>
        <v>0</v>
      </c>
      <c r="BS47" s="270">
        <v>270000</v>
      </c>
      <c r="BT47" s="53">
        <f t="shared" si="14"/>
        <v>0</v>
      </c>
      <c r="BU47" s="359"/>
    </row>
    <row r="48" spans="1:74" s="55" customFormat="1" ht="19.2" customHeight="1" x14ac:dyDescent="0.3">
      <c r="A48" s="294">
        <f t="shared" si="16"/>
        <v>44</v>
      </c>
      <c r="B48" s="159" t="s">
        <v>240</v>
      </c>
      <c r="C48" s="159"/>
      <c r="D48" s="206" t="s">
        <v>4</v>
      </c>
      <c r="E48" s="127"/>
      <c r="F48" s="32"/>
      <c r="G48" s="32"/>
      <c r="H48" s="32"/>
      <c r="I48" s="32"/>
      <c r="J48" s="32"/>
      <c r="K48" s="32"/>
      <c r="L48" s="32"/>
      <c r="M48" s="280"/>
      <c r="N48" s="32"/>
      <c r="O48" s="32"/>
      <c r="P48" s="32"/>
      <c r="Q48" s="32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  <c r="BM48" s="211"/>
      <c r="BN48" s="211"/>
      <c r="BO48" s="33"/>
      <c r="BP48" s="242">
        <f t="shared" si="18"/>
        <v>0</v>
      </c>
      <c r="BQ48" s="78">
        <f t="shared" si="19"/>
        <v>0</v>
      </c>
      <c r="BR48" s="273">
        <f t="shared" si="13"/>
        <v>0</v>
      </c>
      <c r="BS48" s="270">
        <v>370000</v>
      </c>
      <c r="BT48" s="53">
        <f>BR48*BS48</f>
        <v>0</v>
      </c>
      <c r="BU48" s="362"/>
      <c r="BV48" s="295"/>
    </row>
    <row r="49" spans="1:74" s="31" customFormat="1" x14ac:dyDescent="0.3">
      <c r="A49" s="61">
        <f t="shared" si="16"/>
        <v>45</v>
      </c>
      <c r="B49" s="116" t="s">
        <v>241</v>
      </c>
      <c r="C49" s="116"/>
      <c r="D49" s="205" t="s">
        <v>4</v>
      </c>
      <c r="E49" s="127"/>
      <c r="F49" s="32"/>
      <c r="G49" s="32"/>
      <c r="H49" s="32"/>
      <c r="I49" s="32"/>
      <c r="J49" s="32"/>
      <c r="K49" s="32"/>
      <c r="L49" s="32"/>
      <c r="M49" s="280"/>
      <c r="N49" s="32"/>
      <c r="O49" s="32"/>
      <c r="P49" s="32"/>
      <c r="Q49" s="32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33"/>
      <c r="BP49" s="242">
        <f t="shared" si="18"/>
        <v>0</v>
      </c>
      <c r="BQ49" s="78">
        <f t="shared" si="19"/>
        <v>0</v>
      </c>
      <c r="BR49" s="273">
        <f t="shared" si="13"/>
        <v>0</v>
      </c>
      <c r="BS49" s="270">
        <v>360000</v>
      </c>
      <c r="BT49" s="53">
        <f t="shared" si="14"/>
        <v>0</v>
      </c>
      <c r="BU49" s="359"/>
    </row>
    <row r="50" spans="1:74" s="31" customFormat="1" x14ac:dyDescent="0.3">
      <c r="A50" s="61">
        <f t="shared" si="16"/>
        <v>46</v>
      </c>
      <c r="B50" s="116" t="s">
        <v>242</v>
      </c>
      <c r="C50" s="116"/>
      <c r="D50" s="205" t="s">
        <v>5</v>
      </c>
      <c r="E50" s="127"/>
      <c r="F50" s="32"/>
      <c r="G50" s="32"/>
      <c r="H50" s="32" t="s">
        <v>9</v>
      </c>
      <c r="I50" s="32"/>
      <c r="J50" s="32" t="s">
        <v>9</v>
      </c>
      <c r="K50" s="32"/>
      <c r="L50" s="32"/>
      <c r="M50" s="32" t="s">
        <v>9</v>
      </c>
      <c r="N50" s="32"/>
      <c r="O50" s="32"/>
      <c r="P50" s="32"/>
      <c r="Q50" s="32"/>
      <c r="R50" s="211" t="s">
        <v>9</v>
      </c>
      <c r="S50" s="211" t="s">
        <v>9</v>
      </c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1"/>
      <c r="AR50" s="211" t="s">
        <v>9</v>
      </c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33"/>
      <c r="BP50" s="242">
        <f>COUNTIF(E50:BO50,"X")</f>
        <v>6</v>
      </c>
      <c r="BQ50" s="78">
        <f t="shared" si="19"/>
        <v>0</v>
      </c>
      <c r="BR50" s="273">
        <f t="shared" si="13"/>
        <v>6</v>
      </c>
      <c r="BS50" s="270">
        <v>270000</v>
      </c>
      <c r="BT50" s="53">
        <f t="shared" si="14"/>
        <v>1620000</v>
      </c>
      <c r="BU50" s="359"/>
    </row>
    <row r="51" spans="1:74" s="31" customFormat="1" x14ac:dyDescent="0.3">
      <c r="A51" s="61">
        <f t="shared" si="16"/>
        <v>47</v>
      </c>
      <c r="B51" s="48" t="s">
        <v>243</v>
      </c>
      <c r="C51" s="48"/>
      <c r="D51" s="204" t="s">
        <v>5</v>
      </c>
      <c r="E51" s="41"/>
      <c r="F51" s="32"/>
      <c r="G51" s="32"/>
      <c r="H51" s="32"/>
      <c r="I51" s="32"/>
      <c r="J51" s="32"/>
      <c r="K51" s="32"/>
      <c r="L51" s="32"/>
      <c r="M51" s="280"/>
      <c r="N51" s="32"/>
      <c r="O51" s="32"/>
      <c r="P51" s="32"/>
      <c r="Q51" s="32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33"/>
      <c r="BP51" s="242">
        <f t="shared" si="18"/>
        <v>0</v>
      </c>
      <c r="BQ51" s="78">
        <f t="shared" si="19"/>
        <v>0</v>
      </c>
      <c r="BR51" s="273">
        <f t="shared" si="13"/>
        <v>0</v>
      </c>
      <c r="BS51" s="270">
        <v>270000</v>
      </c>
      <c r="BT51" s="53">
        <f t="shared" si="14"/>
        <v>0</v>
      </c>
      <c r="BU51" s="359"/>
    </row>
    <row r="52" spans="1:74" s="31" customFormat="1" x14ac:dyDescent="0.3">
      <c r="A52" s="61">
        <f t="shared" si="16"/>
        <v>48</v>
      </c>
      <c r="B52" s="116" t="s">
        <v>287</v>
      </c>
      <c r="C52" s="116"/>
      <c r="D52" s="205" t="s">
        <v>4</v>
      </c>
      <c r="E52" s="127"/>
      <c r="F52" s="32"/>
      <c r="G52" s="32"/>
      <c r="H52" s="32"/>
      <c r="I52" s="32"/>
      <c r="J52" s="32"/>
      <c r="K52" s="32"/>
      <c r="L52" s="32"/>
      <c r="M52" s="280"/>
      <c r="N52" s="32"/>
      <c r="O52" s="32"/>
      <c r="P52" s="32"/>
      <c r="Q52" s="32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211"/>
      <c r="BN52" s="211"/>
      <c r="BO52" s="33"/>
      <c r="BP52" s="242">
        <f t="shared" si="18"/>
        <v>0</v>
      </c>
      <c r="BQ52" s="78">
        <f t="shared" si="19"/>
        <v>0</v>
      </c>
      <c r="BR52" s="273">
        <f t="shared" si="13"/>
        <v>0</v>
      </c>
      <c r="BS52" s="270">
        <v>360000</v>
      </c>
      <c r="BT52" s="53">
        <f t="shared" si="14"/>
        <v>0</v>
      </c>
      <c r="BU52" s="359"/>
    </row>
    <row r="53" spans="1:74" s="31" customFormat="1" x14ac:dyDescent="0.3">
      <c r="A53" s="61">
        <f t="shared" si="16"/>
        <v>49</v>
      </c>
      <c r="B53" s="116" t="s">
        <v>289</v>
      </c>
      <c r="C53" s="116"/>
      <c r="D53" s="205" t="s">
        <v>4</v>
      </c>
      <c r="E53" s="127"/>
      <c r="F53" s="32"/>
      <c r="G53" s="32"/>
      <c r="H53" s="32"/>
      <c r="I53" s="32"/>
      <c r="J53" s="32"/>
      <c r="K53" s="32"/>
      <c r="L53" s="32"/>
      <c r="M53" s="280"/>
      <c r="N53" s="32"/>
      <c r="O53" s="32"/>
      <c r="P53" s="32"/>
      <c r="Q53" s="32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33"/>
      <c r="BP53" s="242">
        <f t="shared" si="18"/>
        <v>0</v>
      </c>
      <c r="BQ53" s="78">
        <f t="shared" si="19"/>
        <v>0</v>
      </c>
      <c r="BR53" s="273">
        <f t="shared" si="13"/>
        <v>0</v>
      </c>
      <c r="BS53" s="270">
        <v>360000</v>
      </c>
      <c r="BT53" s="53">
        <f t="shared" si="14"/>
        <v>0</v>
      </c>
      <c r="BU53" s="359"/>
    </row>
    <row r="54" spans="1:74" s="31" customFormat="1" x14ac:dyDescent="0.3">
      <c r="A54" s="61">
        <f t="shared" si="16"/>
        <v>50</v>
      </c>
      <c r="B54" s="116" t="s">
        <v>290</v>
      </c>
      <c r="C54" s="116"/>
      <c r="D54" s="205" t="s">
        <v>5</v>
      </c>
      <c r="E54" s="127"/>
      <c r="F54" s="32"/>
      <c r="G54" s="32"/>
      <c r="H54" s="32"/>
      <c r="I54" s="32"/>
      <c r="J54" s="32"/>
      <c r="K54" s="32"/>
      <c r="L54" s="32"/>
      <c r="M54" s="280"/>
      <c r="N54" s="32"/>
      <c r="O54" s="32"/>
      <c r="P54" s="32"/>
      <c r="Q54" s="32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211"/>
      <c r="BN54" s="211"/>
      <c r="BO54" s="33"/>
      <c r="BP54" s="242">
        <f t="shared" si="18"/>
        <v>0</v>
      </c>
      <c r="BQ54" s="78">
        <f t="shared" si="19"/>
        <v>0</v>
      </c>
      <c r="BR54" s="273">
        <f t="shared" si="13"/>
        <v>0</v>
      </c>
      <c r="BS54" s="270">
        <v>270000</v>
      </c>
      <c r="BT54" s="53">
        <f t="shared" si="14"/>
        <v>0</v>
      </c>
      <c r="BU54" s="359"/>
    </row>
    <row r="55" spans="1:74" s="55" customFormat="1" x14ac:dyDescent="0.3">
      <c r="A55" s="294">
        <f t="shared" si="16"/>
        <v>51</v>
      </c>
      <c r="B55" s="159" t="s">
        <v>288</v>
      </c>
      <c r="C55" s="159"/>
      <c r="D55" s="206" t="s">
        <v>5</v>
      </c>
      <c r="E55" s="127"/>
      <c r="F55" s="32"/>
      <c r="G55" s="32"/>
      <c r="H55" s="32"/>
      <c r="I55" s="32"/>
      <c r="J55" s="32"/>
      <c r="K55" s="32"/>
      <c r="L55" s="32"/>
      <c r="M55" s="280"/>
      <c r="N55" s="32"/>
      <c r="O55" s="32"/>
      <c r="P55" s="32"/>
      <c r="Q55" s="32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33"/>
      <c r="BP55" s="242">
        <f t="shared" si="18"/>
        <v>0</v>
      </c>
      <c r="BQ55" s="78">
        <f t="shared" si="19"/>
        <v>0</v>
      </c>
      <c r="BR55" s="273">
        <f t="shared" si="13"/>
        <v>0</v>
      </c>
      <c r="BS55" s="270">
        <v>270000</v>
      </c>
      <c r="BT55" s="53">
        <f t="shared" si="14"/>
        <v>0</v>
      </c>
      <c r="BU55" s="362"/>
    </row>
    <row r="56" spans="1:74" s="31" customFormat="1" x14ac:dyDescent="0.3">
      <c r="A56" s="61">
        <f t="shared" si="16"/>
        <v>52</v>
      </c>
      <c r="B56" s="116" t="s">
        <v>291</v>
      </c>
      <c r="C56" s="116"/>
      <c r="D56" s="205" t="s">
        <v>5</v>
      </c>
      <c r="E56" s="127"/>
      <c r="F56" s="32"/>
      <c r="G56" s="32"/>
      <c r="H56" s="32"/>
      <c r="I56" s="32"/>
      <c r="J56" s="32"/>
      <c r="K56" s="32"/>
      <c r="L56" s="32"/>
      <c r="M56" s="280"/>
      <c r="N56" s="32"/>
      <c r="O56" s="32"/>
      <c r="P56" s="32"/>
      <c r="Q56" s="32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1"/>
      <c r="BK56" s="211"/>
      <c r="BL56" s="211"/>
      <c r="BM56" s="211"/>
      <c r="BN56" s="211"/>
      <c r="BO56" s="33"/>
      <c r="BP56" s="242">
        <f t="shared" si="18"/>
        <v>0</v>
      </c>
      <c r="BQ56" s="78">
        <f t="shared" si="19"/>
        <v>0</v>
      </c>
      <c r="BR56" s="273">
        <f t="shared" si="13"/>
        <v>0</v>
      </c>
      <c r="BS56" s="270">
        <v>270000</v>
      </c>
      <c r="BT56" s="53">
        <f>BR56*BS56</f>
        <v>0</v>
      </c>
      <c r="BU56" s="359"/>
    </row>
    <row r="57" spans="1:74" s="55" customFormat="1" ht="19.2" customHeight="1" x14ac:dyDescent="0.3">
      <c r="A57" s="294">
        <f t="shared" si="16"/>
        <v>53</v>
      </c>
      <c r="B57" s="159" t="s">
        <v>295</v>
      </c>
      <c r="C57" s="159"/>
      <c r="D57" s="206" t="s">
        <v>5</v>
      </c>
      <c r="E57" s="127"/>
      <c r="F57" s="32"/>
      <c r="G57" s="32"/>
      <c r="H57" s="32"/>
      <c r="I57" s="32"/>
      <c r="J57" s="32"/>
      <c r="K57" s="32"/>
      <c r="L57" s="32"/>
      <c r="M57" s="280"/>
      <c r="N57" s="32"/>
      <c r="O57" s="32"/>
      <c r="P57" s="32"/>
      <c r="Q57" s="32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BF57" s="211"/>
      <c r="BG57" s="211"/>
      <c r="BH57" s="211"/>
      <c r="BI57" s="211"/>
      <c r="BJ57" s="211"/>
      <c r="BK57" s="211"/>
      <c r="BL57" s="211"/>
      <c r="BM57" s="211"/>
      <c r="BN57" s="211"/>
      <c r="BO57" s="33"/>
      <c r="BP57" s="242">
        <f t="shared" si="18"/>
        <v>0</v>
      </c>
      <c r="BQ57" s="78">
        <f t="shared" si="19"/>
        <v>0</v>
      </c>
      <c r="BR57" s="273">
        <f t="shared" si="13"/>
        <v>0</v>
      </c>
      <c r="BS57" s="270">
        <v>280000</v>
      </c>
      <c r="BT57" s="53">
        <f>BR57*BS57</f>
        <v>0</v>
      </c>
      <c r="BU57" s="362"/>
      <c r="BV57" s="295"/>
    </row>
    <row r="58" spans="1:74" s="31" customFormat="1" x14ac:dyDescent="0.3">
      <c r="A58" s="61">
        <f t="shared" si="16"/>
        <v>54</v>
      </c>
      <c r="B58" s="116" t="s">
        <v>296</v>
      </c>
      <c r="C58" s="116"/>
      <c r="D58" s="205" t="s">
        <v>5</v>
      </c>
      <c r="E58" s="127"/>
      <c r="F58" s="32"/>
      <c r="G58" s="32"/>
      <c r="H58" s="32"/>
      <c r="I58" s="32"/>
      <c r="J58" s="32"/>
      <c r="K58" s="32"/>
      <c r="L58" s="32"/>
      <c r="M58" s="280"/>
      <c r="N58" s="32"/>
      <c r="O58" s="32"/>
      <c r="P58" s="32"/>
      <c r="Q58" s="32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1"/>
      <c r="BK58" s="211"/>
      <c r="BL58" s="211"/>
      <c r="BM58" s="211"/>
      <c r="BN58" s="211"/>
      <c r="BO58" s="33"/>
      <c r="BP58" s="242">
        <f t="shared" si="18"/>
        <v>0</v>
      </c>
      <c r="BQ58" s="78">
        <f t="shared" si="19"/>
        <v>0</v>
      </c>
      <c r="BR58" s="273">
        <f t="shared" si="13"/>
        <v>0</v>
      </c>
      <c r="BS58" s="270">
        <v>270000</v>
      </c>
      <c r="BT58" s="53">
        <f t="shared" si="14"/>
        <v>0</v>
      </c>
      <c r="BU58" s="359"/>
    </row>
    <row r="59" spans="1:74" s="31" customFormat="1" x14ac:dyDescent="0.3">
      <c r="A59" s="61">
        <f t="shared" si="16"/>
        <v>55</v>
      </c>
      <c r="B59" s="116" t="s">
        <v>297</v>
      </c>
      <c r="C59" s="116"/>
      <c r="D59" s="205" t="s">
        <v>4</v>
      </c>
      <c r="E59" s="127"/>
      <c r="F59" s="32"/>
      <c r="G59" s="32"/>
      <c r="H59" s="32"/>
      <c r="I59" s="32"/>
      <c r="J59" s="32"/>
      <c r="K59" s="32"/>
      <c r="L59" s="32"/>
      <c r="M59" s="280"/>
      <c r="N59" s="32"/>
      <c r="O59" s="32"/>
      <c r="P59" s="32"/>
      <c r="Q59" s="32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1"/>
      <c r="BK59" s="211"/>
      <c r="BL59" s="211"/>
      <c r="BM59" s="211"/>
      <c r="BN59" s="211"/>
      <c r="BO59" s="33"/>
      <c r="BP59" s="242">
        <f t="shared" si="18"/>
        <v>0</v>
      </c>
      <c r="BQ59" s="78">
        <f t="shared" si="19"/>
        <v>0</v>
      </c>
      <c r="BR59" s="273">
        <f t="shared" si="13"/>
        <v>0</v>
      </c>
      <c r="BS59" s="270">
        <v>360000</v>
      </c>
      <c r="BT59" s="53">
        <f t="shared" si="14"/>
        <v>0</v>
      </c>
      <c r="BU59" s="359"/>
    </row>
    <row r="60" spans="1:74" s="31" customFormat="1" x14ac:dyDescent="0.3">
      <c r="A60" s="61">
        <f t="shared" si="16"/>
        <v>56</v>
      </c>
      <c r="B60" s="116" t="s">
        <v>298</v>
      </c>
      <c r="C60" s="116"/>
      <c r="D60" s="205" t="s">
        <v>5</v>
      </c>
      <c r="E60" s="127"/>
      <c r="F60" s="32"/>
      <c r="G60" s="32"/>
      <c r="H60" s="32"/>
      <c r="I60" s="32"/>
      <c r="J60" s="32"/>
      <c r="K60" s="32"/>
      <c r="L60" s="32"/>
      <c r="M60" s="280"/>
      <c r="N60" s="32"/>
      <c r="O60" s="32"/>
      <c r="P60" s="32"/>
      <c r="Q60" s="32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33"/>
      <c r="BP60" s="242">
        <f t="shared" si="18"/>
        <v>0</v>
      </c>
      <c r="BQ60" s="78">
        <f t="shared" si="19"/>
        <v>0</v>
      </c>
      <c r="BR60" s="273">
        <f t="shared" si="13"/>
        <v>0</v>
      </c>
      <c r="BS60" s="270">
        <v>270000</v>
      </c>
      <c r="BT60" s="53">
        <f t="shared" si="14"/>
        <v>0</v>
      </c>
      <c r="BU60" s="359"/>
    </row>
    <row r="61" spans="1:74" s="31" customFormat="1" x14ac:dyDescent="0.3">
      <c r="A61" s="61">
        <f t="shared" si="16"/>
        <v>57</v>
      </c>
      <c r="B61" s="116" t="s">
        <v>356</v>
      </c>
      <c r="C61" s="116"/>
      <c r="D61" s="205" t="s">
        <v>5</v>
      </c>
      <c r="E61" s="127"/>
      <c r="F61" s="32"/>
      <c r="G61" s="32"/>
      <c r="H61" s="32"/>
      <c r="I61" s="32"/>
      <c r="J61" s="32"/>
      <c r="K61" s="32"/>
      <c r="L61" s="32"/>
      <c r="M61" s="280"/>
      <c r="N61" s="32"/>
      <c r="O61" s="32"/>
      <c r="P61" s="32"/>
      <c r="Q61" s="32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11"/>
      <c r="BG61" s="211"/>
      <c r="BH61" s="211"/>
      <c r="BI61" s="211"/>
      <c r="BJ61" s="211"/>
      <c r="BK61" s="211"/>
      <c r="BL61" s="211"/>
      <c r="BM61" s="211"/>
      <c r="BN61" s="211"/>
      <c r="BO61" s="33"/>
      <c r="BP61" s="242">
        <f t="shared" si="18"/>
        <v>0</v>
      </c>
      <c r="BQ61" s="78">
        <f t="shared" si="19"/>
        <v>0</v>
      </c>
      <c r="BR61" s="273">
        <f t="shared" si="13"/>
        <v>0</v>
      </c>
      <c r="BS61" s="270">
        <v>260000</v>
      </c>
      <c r="BT61" s="53">
        <f t="shared" si="14"/>
        <v>0</v>
      </c>
      <c r="BU61" s="359"/>
    </row>
    <row r="62" spans="1:74" s="31" customFormat="1" x14ac:dyDescent="0.3">
      <c r="A62" s="61">
        <f t="shared" si="16"/>
        <v>58</v>
      </c>
      <c r="B62" s="116" t="s">
        <v>361</v>
      </c>
      <c r="C62" s="116"/>
      <c r="D62" s="205" t="s">
        <v>4</v>
      </c>
      <c r="E62" s="127"/>
      <c r="F62" s="32"/>
      <c r="G62" s="32"/>
      <c r="H62" s="32"/>
      <c r="I62" s="32"/>
      <c r="J62" s="32"/>
      <c r="K62" s="32"/>
      <c r="L62" s="32"/>
      <c r="M62" s="280"/>
      <c r="N62" s="32"/>
      <c r="O62" s="32"/>
      <c r="P62" s="32"/>
      <c r="Q62" s="32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211"/>
      <c r="BI62" s="211"/>
      <c r="BJ62" s="211"/>
      <c r="BK62" s="211"/>
      <c r="BL62" s="211"/>
      <c r="BM62" s="211"/>
      <c r="BN62" s="211"/>
      <c r="BO62" s="33"/>
      <c r="BP62" s="230">
        <f t="shared" si="18"/>
        <v>0</v>
      </c>
      <c r="BQ62" s="163">
        <f t="shared" si="19"/>
        <v>0</v>
      </c>
      <c r="BR62" s="273">
        <f t="shared" si="13"/>
        <v>0</v>
      </c>
      <c r="BS62" s="270">
        <v>360000</v>
      </c>
      <c r="BT62" s="53">
        <f t="shared" si="14"/>
        <v>0</v>
      </c>
      <c r="BU62" s="359"/>
    </row>
    <row r="63" spans="1:74" s="31" customFormat="1" x14ac:dyDescent="0.3">
      <c r="A63" s="61">
        <f t="shared" si="16"/>
        <v>59</v>
      </c>
      <c r="B63" s="116" t="s">
        <v>362</v>
      </c>
      <c r="C63" s="116"/>
      <c r="D63" s="205" t="s">
        <v>5</v>
      </c>
      <c r="E63" s="127"/>
      <c r="F63" s="32"/>
      <c r="G63" s="32"/>
      <c r="H63" s="32"/>
      <c r="I63" s="32"/>
      <c r="J63" s="32"/>
      <c r="K63" s="32"/>
      <c r="L63" s="32"/>
      <c r="M63" s="280"/>
      <c r="N63" s="32"/>
      <c r="O63" s="32"/>
      <c r="P63" s="32"/>
      <c r="Q63" s="32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211"/>
      <c r="BJ63" s="211"/>
      <c r="BK63" s="211"/>
      <c r="BL63" s="211"/>
      <c r="BM63" s="211"/>
      <c r="BN63" s="211"/>
      <c r="BO63" s="33"/>
      <c r="BP63" s="230">
        <f t="shared" si="18"/>
        <v>0</v>
      </c>
      <c r="BQ63" s="163">
        <f t="shared" si="19"/>
        <v>0</v>
      </c>
      <c r="BR63" s="273">
        <f t="shared" si="13"/>
        <v>0</v>
      </c>
      <c r="BS63" s="270">
        <v>260000</v>
      </c>
      <c r="BT63" s="53">
        <f t="shared" si="14"/>
        <v>0</v>
      </c>
      <c r="BU63" s="359"/>
    </row>
    <row r="64" spans="1:74" s="31" customFormat="1" x14ac:dyDescent="0.3">
      <c r="A64" s="61">
        <f t="shared" si="16"/>
        <v>60</v>
      </c>
      <c r="B64" s="116" t="s">
        <v>363</v>
      </c>
      <c r="C64" s="116"/>
      <c r="D64" s="205" t="s">
        <v>5</v>
      </c>
      <c r="E64" s="127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 t="s">
        <v>9</v>
      </c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211"/>
      <c r="BK64" s="211"/>
      <c r="BL64" s="211"/>
      <c r="BM64" s="211"/>
      <c r="BN64" s="211"/>
      <c r="BO64" s="33"/>
      <c r="BP64" s="242">
        <f>COUNTIF(E64:BO64,"X")</f>
        <v>1</v>
      </c>
      <c r="BQ64" s="163">
        <f t="shared" si="19"/>
        <v>0</v>
      </c>
      <c r="BR64" s="273">
        <f t="shared" si="13"/>
        <v>1</v>
      </c>
      <c r="BS64" s="270">
        <v>260000</v>
      </c>
      <c r="BT64" s="53">
        <f t="shared" si="14"/>
        <v>260000</v>
      </c>
      <c r="BU64" s="359"/>
    </row>
    <row r="65" spans="1:73" s="31" customFormat="1" x14ac:dyDescent="0.3">
      <c r="A65" s="61">
        <f t="shared" si="16"/>
        <v>61</v>
      </c>
      <c r="B65" s="116" t="s">
        <v>364</v>
      </c>
      <c r="C65" s="116"/>
      <c r="D65" s="205" t="s">
        <v>4</v>
      </c>
      <c r="E65" s="127"/>
      <c r="F65" s="32"/>
      <c r="G65" s="32"/>
      <c r="H65" s="32"/>
      <c r="I65" s="32"/>
      <c r="J65" s="32"/>
      <c r="K65" s="32"/>
      <c r="L65" s="32"/>
      <c r="M65" s="280"/>
      <c r="N65" s="32"/>
      <c r="O65" s="32"/>
      <c r="P65" s="32"/>
      <c r="Q65" s="32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211"/>
      <c r="BL65" s="211"/>
      <c r="BM65" s="211"/>
      <c r="BN65" s="211"/>
      <c r="BO65" s="33"/>
      <c r="BP65" s="230">
        <f t="shared" si="18"/>
        <v>0</v>
      </c>
      <c r="BQ65" s="163">
        <f t="shared" si="19"/>
        <v>0</v>
      </c>
      <c r="BR65" s="273">
        <f t="shared" si="13"/>
        <v>0</v>
      </c>
      <c r="BS65" s="270">
        <v>370000</v>
      </c>
      <c r="BT65" s="53">
        <f t="shared" si="14"/>
        <v>0</v>
      </c>
      <c r="BU65" s="359"/>
    </row>
    <row r="66" spans="1:73" s="31" customFormat="1" x14ac:dyDescent="0.3">
      <c r="A66" s="61">
        <f t="shared" si="16"/>
        <v>62</v>
      </c>
      <c r="B66" s="116" t="s">
        <v>365</v>
      </c>
      <c r="C66" s="116"/>
      <c r="D66" s="205" t="s">
        <v>5</v>
      </c>
      <c r="E66" s="127"/>
      <c r="F66" s="32"/>
      <c r="G66" s="32"/>
      <c r="H66" s="32"/>
      <c r="I66" s="32"/>
      <c r="J66" s="32"/>
      <c r="K66" s="32"/>
      <c r="L66" s="32"/>
      <c r="M66" s="280"/>
      <c r="N66" s="32"/>
      <c r="O66" s="32"/>
      <c r="P66" s="32"/>
      <c r="Q66" s="32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  <c r="AK66" s="211"/>
      <c r="AL66" s="211"/>
      <c r="AM66" s="211"/>
      <c r="AN66" s="211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1"/>
      <c r="BE66" s="211"/>
      <c r="BF66" s="211"/>
      <c r="BG66" s="211"/>
      <c r="BH66" s="211"/>
      <c r="BI66" s="211"/>
      <c r="BJ66" s="211"/>
      <c r="BK66" s="211"/>
      <c r="BL66" s="211"/>
      <c r="BM66" s="211"/>
      <c r="BN66" s="211"/>
      <c r="BO66" s="33"/>
      <c r="BP66" s="230">
        <f t="shared" si="18"/>
        <v>0</v>
      </c>
      <c r="BQ66" s="163">
        <f t="shared" si="19"/>
        <v>0</v>
      </c>
      <c r="BR66" s="273">
        <f t="shared" si="13"/>
        <v>0</v>
      </c>
      <c r="BS66" s="270">
        <v>260000</v>
      </c>
      <c r="BT66" s="53">
        <f t="shared" si="14"/>
        <v>0</v>
      </c>
      <c r="BU66" s="359"/>
    </row>
    <row r="67" spans="1:73" s="31" customFormat="1" x14ac:dyDescent="0.3">
      <c r="A67" s="61">
        <f t="shared" si="16"/>
        <v>63</v>
      </c>
      <c r="B67" s="116" t="s">
        <v>366</v>
      </c>
      <c r="C67" s="116"/>
      <c r="D67" s="205" t="s">
        <v>4</v>
      </c>
      <c r="E67" s="127"/>
      <c r="F67" s="32"/>
      <c r="G67" s="32"/>
      <c r="H67" s="32"/>
      <c r="I67" s="32"/>
      <c r="J67" s="32"/>
      <c r="K67" s="32"/>
      <c r="L67" s="32"/>
      <c r="M67" s="280"/>
      <c r="N67" s="32"/>
      <c r="O67" s="32"/>
      <c r="P67" s="32"/>
      <c r="Q67" s="32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  <c r="AO67" s="211"/>
      <c r="AP67" s="211"/>
      <c r="AQ67" s="211"/>
      <c r="AR67" s="211"/>
      <c r="AS67" s="211"/>
      <c r="AT67" s="211"/>
      <c r="AU67" s="211"/>
      <c r="AV67" s="211"/>
      <c r="AW67" s="211"/>
      <c r="AX67" s="211"/>
      <c r="AY67" s="211"/>
      <c r="AZ67" s="211"/>
      <c r="BA67" s="211"/>
      <c r="BB67" s="211"/>
      <c r="BC67" s="211"/>
      <c r="BD67" s="211"/>
      <c r="BE67" s="211"/>
      <c r="BF67" s="211"/>
      <c r="BG67" s="211"/>
      <c r="BH67" s="211"/>
      <c r="BI67" s="211"/>
      <c r="BJ67" s="211"/>
      <c r="BK67" s="211"/>
      <c r="BL67" s="211"/>
      <c r="BM67" s="211"/>
      <c r="BN67" s="211"/>
      <c r="BO67" s="33"/>
      <c r="BP67" s="230">
        <f t="shared" si="18"/>
        <v>0</v>
      </c>
      <c r="BQ67" s="163">
        <f t="shared" si="19"/>
        <v>0</v>
      </c>
      <c r="BR67" s="273">
        <f t="shared" si="13"/>
        <v>0</v>
      </c>
      <c r="BS67" s="270">
        <v>360000</v>
      </c>
      <c r="BT67" s="53">
        <f t="shared" si="14"/>
        <v>0</v>
      </c>
      <c r="BU67" s="359"/>
    </row>
    <row r="68" spans="1:73" s="31" customFormat="1" x14ac:dyDescent="0.3">
      <c r="A68" s="61">
        <f t="shared" si="16"/>
        <v>64</v>
      </c>
      <c r="B68" s="116" t="s">
        <v>367</v>
      </c>
      <c r="C68" s="116"/>
      <c r="D68" s="205" t="s">
        <v>5</v>
      </c>
      <c r="E68" s="127"/>
      <c r="F68" s="32"/>
      <c r="G68" s="32"/>
      <c r="H68" s="32"/>
      <c r="I68" s="32"/>
      <c r="J68" s="32"/>
      <c r="K68" s="32"/>
      <c r="L68" s="32"/>
      <c r="M68" s="280"/>
      <c r="N68" s="32"/>
      <c r="O68" s="32"/>
      <c r="P68" s="32"/>
      <c r="Q68" s="32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33"/>
      <c r="BP68" s="230">
        <f t="shared" si="18"/>
        <v>0</v>
      </c>
      <c r="BQ68" s="163">
        <f t="shared" si="19"/>
        <v>0</v>
      </c>
      <c r="BR68" s="273">
        <f t="shared" si="13"/>
        <v>0</v>
      </c>
      <c r="BS68" s="270">
        <v>260000</v>
      </c>
      <c r="BT68" s="53">
        <f t="shared" si="14"/>
        <v>0</v>
      </c>
      <c r="BU68" s="359"/>
    </row>
    <row r="69" spans="1:73" s="31" customFormat="1" x14ac:dyDescent="0.3">
      <c r="A69" s="61">
        <f t="shared" si="16"/>
        <v>65</v>
      </c>
      <c r="B69" s="116" t="s">
        <v>368</v>
      </c>
      <c r="C69" s="116"/>
      <c r="D69" s="205" t="s">
        <v>5</v>
      </c>
      <c r="E69" s="127"/>
      <c r="F69" s="32"/>
      <c r="G69" s="32"/>
      <c r="H69" s="32"/>
      <c r="I69" s="32"/>
      <c r="J69" s="32"/>
      <c r="K69" s="32"/>
      <c r="L69" s="32"/>
      <c r="M69" s="280"/>
      <c r="N69" s="32"/>
      <c r="O69" s="32"/>
      <c r="P69" s="32"/>
      <c r="Q69" s="32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33"/>
      <c r="BP69" s="230">
        <f t="shared" ref="BP69:BP83" si="21">COUNTIF(E69:H69,"X")</f>
        <v>0</v>
      </c>
      <c r="BQ69" s="163">
        <f t="shared" si="19"/>
        <v>0</v>
      </c>
      <c r="BR69" s="273">
        <f t="shared" ref="BR69:BR84" si="22">SUM(BP69:BQ69)</f>
        <v>0</v>
      </c>
      <c r="BS69" s="270">
        <v>260000</v>
      </c>
      <c r="BT69" s="53">
        <f t="shared" ref="BT69:BT84" si="23">BR69*BS69</f>
        <v>0</v>
      </c>
      <c r="BU69" s="359"/>
    </row>
    <row r="70" spans="1:73" s="31" customFormat="1" x14ac:dyDescent="0.3">
      <c r="A70" s="61">
        <f t="shared" si="16"/>
        <v>66</v>
      </c>
      <c r="B70" s="116" t="s">
        <v>369</v>
      </c>
      <c r="C70" s="116"/>
      <c r="D70" s="205" t="s">
        <v>5</v>
      </c>
      <c r="E70" s="127"/>
      <c r="F70" s="32"/>
      <c r="G70" s="32"/>
      <c r="H70" s="32"/>
      <c r="I70" s="32"/>
      <c r="J70" s="32"/>
      <c r="K70" s="32"/>
      <c r="L70" s="32"/>
      <c r="M70" s="280"/>
      <c r="N70" s="32"/>
      <c r="O70" s="32"/>
      <c r="P70" s="32"/>
      <c r="Q70" s="32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33"/>
      <c r="BP70" s="230">
        <f t="shared" si="21"/>
        <v>0</v>
      </c>
      <c r="BQ70" s="163">
        <f t="shared" ref="BQ70:BQ84" si="24">COUNTIF(E70:H70,"X/2")/2</f>
        <v>0</v>
      </c>
      <c r="BR70" s="273">
        <f t="shared" si="22"/>
        <v>0</v>
      </c>
      <c r="BS70" s="270">
        <v>270000</v>
      </c>
      <c r="BT70" s="53">
        <f t="shared" si="23"/>
        <v>0</v>
      </c>
      <c r="BU70" s="359"/>
    </row>
    <row r="71" spans="1:73" s="31" customFormat="1" x14ac:dyDescent="0.3">
      <c r="A71" s="61">
        <f t="shared" si="16"/>
        <v>67</v>
      </c>
      <c r="B71" s="116" t="s">
        <v>371</v>
      </c>
      <c r="C71" s="116"/>
      <c r="D71" s="205" t="s">
        <v>4</v>
      </c>
      <c r="E71" s="127"/>
      <c r="F71" s="32"/>
      <c r="G71" s="32"/>
      <c r="H71" s="32"/>
      <c r="I71" s="32"/>
      <c r="J71" s="32"/>
      <c r="K71" s="32"/>
      <c r="L71" s="32"/>
      <c r="M71" s="280"/>
      <c r="N71" s="32"/>
      <c r="O71" s="32"/>
      <c r="P71" s="32"/>
      <c r="Q71" s="32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11"/>
      <c r="AK71" s="211"/>
      <c r="AL71" s="211"/>
      <c r="AM71" s="211"/>
      <c r="AN71" s="211"/>
      <c r="AO71" s="211"/>
      <c r="AP71" s="211"/>
      <c r="AQ71" s="211"/>
      <c r="AR71" s="211"/>
      <c r="AS71" s="211"/>
      <c r="AT71" s="211"/>
      <c r="AU71" s="211"/>
      <c r="AV71" s="211"/>
      <c r="AW71" s="211"/>
      <c r="AX71" s="211"/>
      <c r="AY71" s="211"/>
      <c r="AZ71" s="211"/>
      <c r="BA71" s="211"/>
      <c r="BB71" s="211"/>
      <c r="BC71" s="211"/>
      <c r="BD71" s="211"/>
      <c r="BE71" s="211"/>
      <c r="BF71" s="211"/>
      <c r="BG71" s="211"/>
      <c r="BH71" s="211"/>
      <c r="BI71" s="211"/>
      <c r="BJ71" s="211"/>
      <c r="BK71" s="211"/>
      <c r="BL71" s="211"/>
      <c r="BM71" s="211"/>
      <c r="BN71" s="211"/>
      <c r="BO71" s="33"/>
      <c r="BP71" s="230">
        <f t="shared" si="21"/>
        <v>0</v>
      </c>
      <c r="BQ71" s="163">
        <f t="shared" si="24"/>
        <v>0</v>
      </c>
      <c r="BR71" s="273">
        <f t="shared" si="22"/>
        <v>0</v>
      </c>
      <c r="BS71" s="270">
        <v>360000</v>
      </c>
      <c r="BT71" s="53">
        <f t="shared" si="23"/>
        <v>0</v>
      </c>
      <c r="BU71" s="359"/>
    </row>
    <row r="72" spans="1:73" s="31" customFormat="1" x14ac:dyDescent="0.3">
      <c r="A72" s="61">
        <f t="shared" ref="A72:A84" si="25">A71+1</f>
        <v>68</v>
      </c>
      <c r="B72" s="116" t="s">
        <v>372</v>
      </c>
      <c r="C72" s="116"/>
      <c r="D72" s="205" t="s">
        <v>4</v>
      </c>
      <c r="E72" s="127"/>
      <c r="F72" s="32"/>
      <c r="G72" s="32"/>
      <c r="H72" s="32"/>
      <c r="I72" s="32"/>
      <c r="J72" s="32"/>
      <c r="K72" s="32"/>
      <c r="L72" s="32"/>
      <c r="M72" s="280"/>
      <c r="N72" s="32"/>
      <c r="O72" s="32"/>
      <c r="P72" s="32"/>
      <c r="Q72" s="32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33"/>
      <c r="BP72" s="230">
        <f t="shared" si="21"/>
        <v>0</v>
      </c>
      <c r="BQ72" s="163">
        <f t="shared" si="24"/>
        <v>0</v>
      </c>
      <c r="BR72" s="273">
        <f t="shared" si="22"/>
        <v>0</v>
      </c>
      <c r="BS72" s="270">
        <v>360000</v>
      </c>
      <c r="BT72" s="53">
        <f t="shared" si="23"/>
        <v>0</v>
      </c>
      <c r="BU72" s="359"/>
    </row>
    <row r="73" spans="1:73" s="31" customFormat="1" x14ac:dyDescent="0.3">
      <c r="A73" s="61">
        <f t="shared" si="25"/>
        <v>69</v>
      </c>
      <c r="B73" s="116" t="s">
        <v>373</v>
      </c>
      <c r="C73" s="116"/>
      <c r="D73" s="205" t="s">
        <v>5</v>
      </c>
      <c r="E73" s="127"/>
      <c r="F73" s="32"/>
      <c r="G73" s="32"/>
      <c r="H73" s="32"/>
      <c r="I73" s="32"/>
      <c r="J73" s="32"/>
      <c r="K73" s="32"/>
      <c r="L73" s="32"/>
      <c r="M73" s="280"/>
      <c r="N73" s="32"/>
      <c r="O73" s="32"/>
      <c r="P73" s="32"/>
      <c r="Q73" s="32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  <c r="AJ73" s="211"/>
      <c r="AK73" s="211"/>
      <c r="AL73" s="211"/>
      <c r="AM73" s="211"/>
      <c r="AN73" s="211"/>
      <c r="AO73" s="211"/>
      <c r="AP73" s="211"/>
      <c r="AQ73" s="211"/>
      <c r="AR73" s="211"/>
      <c r="AS73" s="211"/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  <c r="BD73" s="211"/>
      <c r="BE73" s="211"/>
      <c r="BF73" s="211"/>
      <c r="BG73" s="211"/>
      <c r="BH73" s="211"/>
      <c r="BI73" s="211"/>
      <c r="BJ73" s="211"/>
      <c r="BK73" s="211"/>
      <c r="BL73" s="211"/>
      <c r="BM73" s="211"/>
      <c r="BN73" s="211"/>
      <c r="BO73" s="33"/>
      <c r="BP73" s="230">
        <f t="shared" si="21"/>
        <v>0</v>
      </c>
      <c r="BQ73" s="163">
        <f t="shared" si="24"/>
        <v>0</v>
      </c>
      <c r="BR73" s="273">
        <f t="shared" si="22"/>
        <v>0</v>
      </c>
      <c r="BS73" s="270">
        <v>260000</v>
      </c>
      <c r="BT73" s="53">
        <f t="shared" si="23"/>
        <v>0</v>
      </c>
      <c r="BU73" s="359"/>
    </row>
    <row r="74" spans="1:73" s="31" customFormat="1" x14ac:dyDescent="0.3">
      <c r="A74" s="61">
        <f t="shared" si="25"/>
        <v>70</v>
      </c>
      <c r="B74" s="116" t="s">
        <v>374</v>
      </c>
      <c r="C74" s="116"/>
      <c r="D74" s="205" t="s">
        <v>4</v>
      </c>
      <c r="E74" s="127"/>
      <c r="F74" s="32"/>
      <c r="G74" s="32"/>
      <c r="H74" s="32"/>
      <c r="I74" s="32"/>
      <c r="J74" s="32"/>
      <c r="K74" s="32"/>
      <c r="L74" s="32"/>
      <c r="M74" s="280"/>
      <c r="N74" s="32"/>
      <c r="O74" s="32"/>
      <c r="P74" s="32"/>
      <c r="Q74" s="32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  <c r="AI74" s="211"/>
      <c r="AJ74" s="211"/>
      <c r="AK74" s="211"/>
      <c r="AL74" s="211"/>
      <c r="AM74" s="211"/>
      <c r="AN74" s="211"/>
      <c r="AO74" s="211"/>
      <c r="AP74" s="211"/>
      <c r="AQ74" s="211"/>
      <c r="AR74" s="211"/>
      <c r="AS74" s="211"/>
      <c r="AT74" s="211"/>
      <c r="AU74" s="211"/>
      <c r="AV74" s="211"/>
      <c r="AW74" s="211"/>
      <c r="AX74" s="211"/>
      <c r="AY74" s="211"/>
      <c r="AZ74" s="211"/>
      <c r="BA74" s="211"/>
      <c r="BB74" s="211"/>
      <c r="BC74" s="211"/>
      <c r="BD74" s="211"/>
      <c r="BE74" s="211"/>
      <c r="BF74" s="211"/>
      <c r="BG74" s="211"/>
      <c r="BH74" s="211"/>
      <c r="BI74" s="211"/>
      <c r="BJ74" s="211"/>
      <c r="BK74" s="211"/>
      <c r="BL74" s="211"/>
      <c r="BM74" s="211"/>
      <c r="BN74" s="211"/>
      <c r="BO74" s="33"/>
      <c r="BP74" s="230">
        <f t="shared" si="21"/>
        <v>0</v>
      </c>
      <c r="BQ74" s="163">
        <f t="shared" si="24"/>
        <v>0</v>
      </c>
      <c r="BR74" s="273">
        <f t="shared" si="22"/>
        <v>0</v>
      </c>
      <c r="BS74" s="270">
        <v>360000</v>
      </c>
      <c r="BT74" s="53">
        <f t="shared" si="23"/>
        <v>0</v>
      </c>
      <c r="BU74" s="359"/>
    </row>
    <row r="75" spans="1:73" s="31" customFormat="1" x14ac:dyDescent="0.3">
      <c r="A75" s="61">
        <f t="shared" si="25"/>
        <v>71</v>
      </c>
      <c r="B75" s="116" t="s">
        <v>375</v>
      </c>
      <c r="C75" s="116"/>
      <c r="D75" s="205" t="s">
        <v>5</v>
      </c>
      <c r="E75" s="127"/>
      <c r="F75" s="32"/>
      <c r="G75" s="32"/>
      <c r="H75" s="32"/>
      <c r="I75" s="32"/>
      <c r="J75" s="32"/>
      <c r="K75" s="32"/>
      <c r="L75" s="32"/>
      <c r="M75" s="280"/>
      <c r="N75" s="32"/>
      <c r="O75" s="32"/>
      <c r="P75" s="32"/>
      <c r="Q75" s="32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  <c r="AJ75" s="211"/>
      <c r="AK75" s="211"/>
      <c r="AL75" s="211"/>
      <c r="AM75" s="211"/>
      <c r="AN75" s="211"/>
      <c r="AO75" s="211"/>
      <c r="AP75" s="211"/>
      <c r="AQ75" s="211"/>
      <c r="AR75" s="211"/>
      <c r="AS75" s="211"/>
      <c r="AT75" s="211"/>
      <c r="AU75" s="211"/>
      <c r="AV75" s="211"/>
      <c r="AW75" s="211"/>
      <c r="AX75" s="211"/>
      <c r="AY75" s="211"/>
      <c r="AZ75" s="211"/>
      <c r="BA75" s="211"/>
      <c r="BB75" s="211"/>
      <c r="BC75" s="211"/>
      <c r="BD75" s="211"/>
      <c r="BE75" s="211"/>
      <c r="BF75" s="211"/>
      <c r="BG75" s="211"/>
      <c r="BH75" s="211"/>
      <c r="BI75" s="211"/>
      <c r="BJ75" s="211"/>
      <c r="BK75" s="211"/>
      <c r="BL75" s="211"/>
      <c r="BM75" s="211"/>
      <c r="BN75" s="211"/>
      <c r="BO75" s="33"/>
      <c r="BP75" s="230">
        <f t="shared" si="21"/>
        <v>0</v>
      </c>
      <c r="BQ75" s="163">
        <f t="shared" si="24"/>
        <v>0</v>
      </c>
      <c r="BR75" s="273">
        <f t="shared" si="22"/>
        <v>0</v>
      </c>
      <c r="BS75" s="270">
        <v>260000</v>
      </c>
      <c r="BT75" s="53">
        <f t="shared" si="23"/>
        <v>0</v>
      </c>
      <c r="BU75" s="359"/>
    </row>
    <row r="76" spans="1:73" s="31" customFormat="1" x14ac:dyDescent="0.3">
      <c r="A76" s="61">
        <f t="shared" si="25"/>
        <v>72</v>
      </c>
      <c r="B76" s="159" t="s">
        <v>376</v>
      </c>
      <c r="C76" s="159"/>
      <c r="D76" s="206" t="s">
        <v>5</v>
      </c>
      <c r="E76" s="127"/>
      <c r="F76" s="227"/>
      <c r="G76" s="227"/>
      <c r="H76" s="227"/>
      <c r="I76" s="227"/>
      <c r="J76" s="227"/>
      <c r="K76" s="227"/>
      <c r="L76" s="227"/>
      <c r="M76" s="395"/>
      <c r="N76" s="227"/>
      <c r="O76" s="227"/>
      <c r="P76" s="227"/>
      <c r="Q76" s="227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  <c r="AE76" s="229"/>
      <c r="AF76" s="229"/>
      <c r="AG76" s="229"/>
      <c r="AH76" s="229"/>
      <c r="AI76" s="229"/>
      <c r="AJ76" s="229"/>
      <c r="AK76" s="229"/>
      <c r="AL76" s="229"/>
      <c r="AM76" s="229"/>
      <c r="AN76" s="229"/>
      <c r="AO76" s="229"/>
      <c r="AP76" s="229"/>
      <c r="AQ76" s="229"/>
      <c r="AR76" s="229"/>
      <c r="AS76" s="229"/>
      <c r="AT76" s="229"/>
      <c r="AU76" s="229"/>
      <c r="AV76" s="229"/>
      <c r="AW76" s="229"/>
      <c r="AX76" s="229"/>
      <c r="AY76" s="229"/>
      <c r="AZ76" s="229"/>
      <c r="BA76" s="229"/>
      <c r="BB76" s="229"/>
      <c r="BC76" s="229"/>
      <c r="BD76" s="229"/>
      <c r="BE76" s="229"/>
      <c r="BF76" s="229"/>
      <c r="BG76" s="229"/>
      <c r="BH76" s="229"/>
      <c r="BI76" s="229"/>
      <c r="BJ76" s="229"/>
      <c r="BK76" s="229"/>
      <c r="BL76" s="229"/>
      <c r="BM76" s="229"/>
      <c r="BN76" s="229"/>
      <c r="BO76" s="323"/>
      <c r="BP76" s="230">
        <f t="shared" si="21"/>
        <v>0</v>
      </c>
      <c r="BQ76" s="163">
        <f t="shared" si="24"/>
        <v>0</v>
      </c>
      <c r="BR76" s="273">
        <f t="shared" si="22"/>
        <v>0</v>
      </c>
      <c r="BS76" s="270">
        <v>260000</v>
      </c>
      <c r="BT76" s="53">
        <f t="shared" si="23"/>
        <v>0</v>
      </c>
      <c r="BU76" s="364"/>
    </row>
    <row r="77" spans="1:73" s="55" customFormat="1" x14ac:dyDescent="0.3">
      <c r="A77" s="61">
        <f t="shared" si="25"/>
        <v>73</v>
      </c>
      <c r="B77" s="29" t="s">
        <v>387</v>
      </c>
      <c r="C77" s="29"/>
      <c r="D77" s="210" t="s">
        <v>5</v>
      </c>
      <c r="E77" s="23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 s="210"/>
      <c r="AK77" s="210"/>
      <c r="AL77" s="210"/>
      <c r="AM77" s="210"/>
      <c r="AN77" s="210"/>
      <c r="AO77" s="210"/>
      <c r="AP77" s="210"/>
      <c r="AQ77" s="210"/>
      <c r="AR77" s="210"/>
      <c r="AS77" s="210"/>
      <c r="AT77" s="210"/>
      <c r="AU77" s="210"/>
      <c r="AV77" s="210"/>
      <c r="AW77" s="210"/>
      <c r="AX77" s="210"/>
      <c r="AY77" s="210"/>
      <c r="AZ77" s="210"/>
      <c r="BA77" s="210"/>
      <c r="BB77" s="210"/>
      <c r="BC77" s="210"/>
      <c r="BD77" s="210"/>
      <c r="BE77" s="210"/>
      <c r="BF77" s="210"/>
      <c r="BG77" s="210"/>
      <c r="BH77" s="210"/>
      <c r="BI77" s="210"/>
      <c r="BJ77" s="210"/>
      <c r="BK77" s="210"/>
      <c r="BL77" s="210"/>
      <c r="BM77" s="210"/>
      <c r="BN77" s="210"/>
      <c r="BO77" s="25"/>
      <c r="BP77" s="242">
        <f>COUNTIF(E77:BO77,"X")</f>
        <v>0</v>
      </c>
      <c r="BQ77" s="78">
        <f t="shared" si="24"/>
        <v>0</v>
      </c>
      <c r="BR77" s="273">
        <f>SUM(BP77:BQ77)</f>
        <v>0</v>
      </c>
      <c r="BS77" s="269">
        <v>270000</v>
      </c>
      <c r="BT77" s="52">
        <f>BR77*BS77</f>
        <v>0</v>
      </c>
      <c r="BU77" s="365"/>
    </row>
    <row r="78" spans="1:73" s="55" customFormat="1" x14ac:dyDescent="0.3">
      <c r="A78" s="294">
        <f>A77+1</f>
        <v>74</v>
      </c>
      <c r="B78" s="29" t="s">
        <v>394</v>
      </c>
      <c r="C78" s="29"/>
      <c r="D78" s="210" t="s">
        <v>4</v>
      </c>
      <c r="E78" s="233"/>
      <c r="F78" s="21"/>
      <c r="G78" s="21"/>
      <c r="H78" s="21"/>
      <c r="I78" s="32"/>
      <c r="J78" s="32"/>
      <c r="K78" s="32"/>
      <c r="L78" s="32"/>
      <c r="M78" s="280"/>
      <c r="N78" s="32"/>
      <c r="O78" s="32"/>
      <c r="P78" s="32"/>
      <c r="Q78" s="32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  <c r="AI78" s="211"/>
      <c r="AJ78" s="211"/>
      <c r="AK78" s="211"/>
      <c r="AL78" s="211"/>
      <c r="AM78" s="211"/>
      <c r="AN78" s="211"/>
      <c r="AO78" s="211"/>
      <c r="AP78" s="211"/>
      <c r="AQ78" s="211"/>
      <c r="AR78" s="211"/>
      <c r="AS78" s="211"/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  <c r="BD78" s="211"/>
      <c r="BE78" s="211"/>
      <c r="BF78" s="211"/>
      <c r="BG78" s="211"/>
      <c r="BH78" s="211"/>
      <c r="BI78" s="211"/>
      <c r="BJ78" s="211"/>
      <c r="BK78" s="211"/>
      <c r="BL78" s="211"/>
      <c r="BM78" s="211"/>
      <c r="BN78" s="211"/>
      <c r="BO78" s="33"/>
      <c r="BP78" s="230">
        <f t="shared" si="21"/>
        <v>0</v>
      </c>
      <c r="BQ78" s="163">
        <f t="shared" si="24"/>
        <v>0</v>
      </c>
      <c r="BR78" s="273">
        <f t="shared" si="22"/>
        <v>0</v>
      </c>
      <c r="BS78" s="269">
        <v>400000</v>
      </c>
      <c r="BT78" s="53">
        <f t="shared" si="23"/>
        <v>0</v>
      </c>
      <c r="BU78" s="364"/>
    </row>
    <row r="79" spans="1:73" s="55" customFormat="1" x14ac:dyDescent="0.3">
      <c r="A79" s="61">
        <f t="shared" si="25"/>
        <v>75</v>
      </c>
      <c r="B79" s="29" t="s">
        <v>388</v>
      </c>
      <c r="C79" s="29"/>
      <c r="D79" s="210" t="s">
        <v>5</v>
      </c>
      <c r="E79" s="233"/>
      <c r="F79" s="21"/>
      <c r="G79" s="21"/>
      <c r="H79" s="21"/>
      <c r="I79" s="32"/>
      <c r="J79" s="32"/>
      <c r="K79" s="32"/>
      <c r="L79" s="32"/>
      <c r="M79" s="280"/>
      <c r="N79" s="32"/>
      <c r="O79" s="32"/>
      <c r="P79" s="32"/>
      <c r="Q79" s="32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A79" s="211"/>
      <c r="BB79" s="211"/>
      <c r="BC79" s="211"/>
      <c r="BD79" s="211"/>
      <c r="BE79" s="211"/>
      <c r="BF79" s="211"/>
      <c r="BG79" s="211"/>
      <c r="BH79" s="211"/>
      <c r="BI79" s="211"/>
      <c r="BJ79" s="211"/>
      <c r="BK79" s="211"/>
      <c r="BL79" s="211"/>
      <c r="BM79" s="211"/>
      <c r="BN79" s="211"/>
      <c r="BO79" s="33"/>
      <c r="BP79" s="230">
        <f t="shared" si="21"/>
        <v>0</v>
      </c>
      <c r="BQ79" s="163">
        <f t="shared" si="24"/>
        <v>0</v>
      </c>
      <c r="BR79" s="273">
        <f t="shared" si="22"/>
        <v>0</v>
      </c>
      <c r="BS79" s="269">
        <v>270000</v>
      </c>
      <c r="BT79" s="53">
        <f t="shared" si="23"/>
        <v>0</v>
      </c>
      <c r="BU79" s="364"/>
    </row>
    <row r="80" spans="1:73" s="55" customFormat="1" x14ac:dyDescent="0.3">
      <c r="A80" s="61">
        <f t="shared" si="25"/>
        <v>76</v>
      </c>
      <c r="B80" s="29" t="s">
        <v>389</v>
      </c>
      <c r="C80" s="29"/>
      <c r="D80" s="210" t="s">
        <v>4</v>
      </c>
      <c r="E80" s="233"/>
      <c r="F80" s="21"/>
      <c r="G80" s="21" t="s">
        <v>9</v>
      </c>
      <c r="H80" s="21" t="s">
        <v>9</v>
      </c>
      <c r="I80" s="32"/>
      <c r="J80" s="32" t="s">
        <v>9</v>
      </c>
      <c r="K80" s="32"/>
      <c r="L80" s="32"/>
      <c r="M80" s="32" t="s">
        <v>9</v>
      </c>
      <c r="N80" s="32" t="s">
        <v>9</v>
      </c>
      <c r="O80" s="32"/>
      <c r="P80" s="32"/>
      <c r="Q80" s="32"/>
      <c r="R80" s="211" t="s">
        <v>9</v>
      </c>
      <c r="S80" s="282" t="s">
        <v>9</v>
      </c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 t="s">
        <v>9</v>
      </c>
      <c r="AS80" s="211" t="s">
        <v>9</v>
      </c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211"/>
      <c r="BN80" s="211"/>
      <c r="BO80" s="33"/>
      <c r="BP80" s="242">
        <f>COUNTIF(E80:BO80,"X")</f>
        <v>9</v>
      </c>
      <c r="BQ80" s="163">
        <f t="shared" si="24"/>
        <v>0</v>
      </c>
      <c r="BR80" s="273">
        <f t="shared" si="22"/>
        <v>9</v>
      </c>
      <c r="BS80" s="269">
        <v>320000</v>
      </c>
      <c r="BT80" s="53">
        <f t="shared" si="23"/>
        <v>2880000</v>
      </c>
      <c r="BU80" s="364"/>
    </row>
    <row r="81" spans="1:74" s="55" customFormat="1" x14ac:dyDescent="0.3">
      <c r="A81" s="61">
        <f t="shared" si="25"/>
        <v>77</v>
      </c>
      <c r="B81" s="29" t="s">
        <v>390</v>
      </c>
      <c r="C81" s="29"/>
      <c r="D81" s="210" t="s">
        <v>5</v>
      </c>
      <c r="E81" s="233"/>
      <c r="F81" s="21"/>
      <c r="G81" s="21"/>
      <c r="H81" s="21"/>
      <c r="I81" s="32"/>
      <c r="J81" s="32"/>
      <c r="K81" s="32"/>
      <c r="L81" s="32"/>
      <c r="M81" s="280"/>
      <c r="N81" s="32"/>
      <c r="O81" s="32"/>
      <c r="P81" s="32"/>
      <c r="Q81" s="32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  <c r="BI81" s="211"/>
      <c r="BJ81" s="211"/>
      <c r="BK81" s="211"/>
      <c r="BL81" s="211"/>
      <c r="BM81" s="211"/>
      <c r="BN81" s="211"/>
      <c r="BO81" s="33"/>
      <c r="BP81" s="230">
        <f t="shared" si="21"/>
        <v>0</v>
      </c>
      <c r="BQ81" s="163">
        <f t="shared" si="24"/>
        <v>0</v>
      </c>
      <c r="BR81" s="273">
        <f t="shared" si="22"/>
        <v>0</v>
      </c>
      <c r="BS81" s="269">
        <v>270000</v>
      </c>
      <c r="BT81" s="53">
        <f t="shared" si="23"/>
        <v>0</v>
      </c>
      <c r="BU81" s="364"/>
    </row>
    <row r="82" spans="1:74" s="55" customFormat="1" x14ac:dyDescent="0.3">
      <c r="A82" s="61">
        <f t="shared" si="25"/>
        <v>78</v>
      </c>
      <c r="B82" s="29" t="s">
        <v>391</v>
      </c>
      <c r="C82" s="29"/>
      <c r="D82" s="210" t="s">
        <v>4</v>
      </c>
      <c r="E82" s="23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211"/>
      <c r="BN82" s="211"/>
      <c r="BO82" s="33"/>
      <c r="BP82" s="242">
        <f>COUNTIF(E82:BO82,"X")</f>
        <v>0</v>
      </c>
      <c r="BQ82" s="163">
        <f t="shared" si="24"/>
        <v>0</v>
      </c>
      <c r="BR82" s="273">
        <f t="shared" si="22"/>
        <v>0</v>
      </c>
      <c r="BS82" s="269">
        <v>360000</v>
      </c>
      <c r="BT82" s="53">
        <f t="shared" si="23"/>
        <v>0</v>
      </c>
      <c r="BU82" s="364"/>
    </row>
    <row r="83" spans="1:74" s="55" customFormat="1" x14ac:dyDescent="0.3">
      <c r="A83" s="61">
        <f t="shared" si="25"/>
        <v>79</v>
      </c>
      <c r="B83" s="29" t="s">
        <v>392</v>
      </c>
      <c r="C83" s="353"/>
      <c r="D83" s="203" t="s">
        <v>5</v>
      </c>
      <c r="E83" s="41"/>
      <c r="F83" s="21"/>
      <c r="G83" s="21"/>
      <c r="H83" s="21"/>
      <c r="I83" s="21"/>
      <c r="J83" s="21"/>
      <c r="K83" s="21"/>
      <c r="L83" s="21"/>
      <c r="M83" s="146"/>
      <c r="N83" s="21"/>
      <c r="O83" s="21"/>
      <c r="P83" s="21"/>
      <c r="Q83" s="21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 s="210"/>
      <c r="AK83" s="210"/>
      <c r="AL83" s="210"/>
      <c r="AM83" s="210"/>
      <c r="AN83" s="210"/>
      <c r="AO83" s="210"/>
      <c r="AP83" s="210"/>
      <c r="AQ83" s="210"/>
      <c r="AR83" s="210"/>
      <c r="AS83" s="210"/>
      <c r="AT83" s="210"/>
      <c r="AU83" s="210"/>
      <c r="AV83" s="210"/>
      <c r="AW83" s="210"/>
      <c r="AX83" s="210"/>
      <c r="AY83" s="210"/>
      <c r="AZ83" s="210"/>
      <c r="BA83" s="210"/>
      <c r="BB83" s="210"/>
      <c r="BC83" s="210"/>
      <c r="BD83" s="210"/>
      <c r="BE83" s="210"/>
      <c r="BF83" s="210"/>
      <c r="BG83" s="210"/>
      <c r="BH83" s="210"/>
      <c r="BI83" s="210"/>
      <c r="BJ83" s="210"/>
      <c r="BK83" s="210"/>
      <c r="BL83" s="210"/>
      <c r="BM83" s="210"/>
      <c r="BN83" s="210"/>
      <c r="BO83" s="25"/>
      <c r="BP83" s="242">
        <f t="shared" si="21"/>
        <v>0</v>
      </c>
      <c r="BQ83" s="78">
        <f t="shared" si="24"/>
        <v>0</v>
      </c>
      <c r="BR83" s="273">
        <f t="shared" si="22"/>
        <v>0</v>
      </c>
      <c r="BS83" s="269">
        <v>270000</v>
      </c>
      <c r="BT83" s="52">
        <f t="shared" si="23"/>
        <v>0</v>
      </c>
      <c r="BU83" s="364"/>
    </row>
    <row r="84" spans="1:74" s="55" customFormat="1" x14ac:dyDescent="0.3">
      <c r="A84" s="61">
        <f t="shared" si="25"/>
        <v>80</v>
      </c>
      <c r="B84" s="344" t="s">
        <v>397</v>
      </c>
      <c r="C84" s="345"/>
      <c r="D84" s="346" t="s">
        <v>5</v>
      </c>
      <c r="E84" s="347"/>
      <c r="F84" s="349"/>
      <c r="G84" s="349"/>
      <c r="H84" s="349"/>
      <c r="I84" s="349"/>
      <c r="J84" s="21" t="s">
        <v>9</v>
      </c>
      <c r="K84" s="21"/>
      <c r="L84" s="21"/>
      <c r="M84" s="21"/>
      <c r="N84" s="21" t="s">
        <v>9</v>
      </c>
      <c r="O84" s="21"/>
      <c r="P84" s="21"/>
      <c r="Q84" s="21"/>
      <c r="R84" s="21" t="s">
        <v>9</v>
      </c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 t="s">
        <v>9</v>
      </c>
      <c r="AT84" s="21"/>
      <c r="AU84" s="21"/>
      <c r="AV84" s="21"/>
      <c r="AW84" s="21"/>
      <c r="AX84" s="21"/>
      <c r="AY84" s="350"/>
      <c r="AZ84" s="350"/>
      <c r="BA84" s="350"/>
      <c r="BB84" s="350"/>
      <c r="BC84" s="350"/>
      <c r="BD84" s="350"/>
      <c r="BE84" s="350"/>
      <c r="BF84" s="350"/>
      <c r="BG84" s="350"/>
      <c r="BH84" s="350"/>
      <c r="BI84" s="350"/>
      <c r="BJ84" s="350"/>
      <c r="BK84" s="350"/>
      <c r="BL84" s="350"/>
      <c r="BM84" s="350"/>
      <c r="BN84" s="350"/>
      <c r="BO84" s="351"/>
      <c r="BP84" s="242">
        <f>COUNTIF(E84:BO84,"X")</f>
        <v>4</v>
      </c>
      <c r="BQ84" s="78">
        <f t="shared" si="24"/>
        <v>0</v>
      </c>
      <c r="BR84" s="273">
        <f t="shared" si="22"/>
        <v>4</v>
      </c>
      <c r="BS84" s="268">
        <v>270000</v>
      </c>
      <c r="BT84" s="52">
        <f t="shared" si="23"/>
        <v>1080000</v>
      </c>
      <c r="BU84" s="366"/>
    </row>
    <row r="85" spans="1:74" s="55" customFormat="1" ht="16.2" thickBot="1" x14ac:dyDescent="0.35">
      <c r="A85" s="324"/>
      <c r="B85" s="306"/>
      <c r="C85" s="307"/>
      <c r="D85" s="308"/>
      <c r="E85" s="309"/>
      <c r="F85" s="312"/>
      <c r="G85" s="312"/>
      <c r="H85" s="380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8"/>
      <c r="AB85" s="308"/>
      <c r="AC85" s="308"/>
      <c r="AD85" s="308"/>
      <c r="AE85" s="308"/>
      <c r="AF85" s="308"/>
      <c r="AG85" s="308"/>
      <c r="AH85" s="308"/>
      <c r="AI85" s="308"/>
      <c r="AJ85" s="308"/>
      <c r="AK85" s="308"/>
      <c r="AL85" s="308"/>
      <c r="AM85" s="308"/>
      <c r="AN85" s="308"/>
      <c r="AO85" s="308"/>
      <c r="AP85" s="308"/>
      <c r="AQ85" s="308"/>
      <c r="AR85" s="308"/>
      <c r="AS85" s="308"/>
      <c r="AT85" s="308"/>
      <c r="AU85" s="308"/>
      <c r="AV85" s="308"/>
      <c r="AW85" s="308"/>
      <c r="AX85" s="308"/>
      <c r="AY85" s="308"/>
      <c r="AZ85" s="308"/>
      <c r="BA85" s="308"/>
      <c r="BB85" s="308"/>
      <c r="BC85" s="308"/>
      <c r="BD85" s="308"/>
      <c r="BE85" s="308"/>
      <c r="BF85" s="308"/>
      <c r="BG85" s="308"/>
      <c r="BH85" s="308"/>
      <c r="BI85" s="308"/>
      <c r="BJ85" s="308"/>
      <c r="BK85" s="308"/>
      <c r="BL85" s="308"/>
      <c r="BM85" s="308"/>
      <c r="BN85" s="308"/>
      <c r="BO85" s="308"/>
      <c r="BP85" s="245"/>
      <c r="BQ85" s="267"/>
      <c r="BR85" s="274"/>
      <c r="BS85" s="313"/>
      <c r="BT85" s="316"/>
      <c r="BU85" s="365"/>
    </row>
    <row r="86" spans="1:74" s="31" customFormat="1" ht="16.2" thickBot="1" x14ac:dyDescent="0.35">
      <c r="A86" s="327"/>
      <c r="B86" s="328"/>
      <c r="C86" s="329"/>
      <c r="D86" s="330"/>
      <c r="E86" s="331">
        <f>SUBTOTAL(103,E5:E76)</f>
        <v>0</v>
      </c>
      <c r="F86" s="332">
        <f t="shared" ref="F86:BQ86" si="26">SUBTOTAL(103,F5:F83)</f>
        <v>4</v>
      </c>
      <c r="G86" s="332">
        <f t="shared" si="26"/>
        <v>5</v>
      </c>
      <c r="H86" s="332">
        <f t="shared" si="26"/>
        <v>4</v>
      </c>
      <c r="I86" s="332">
        <f t="shared" si="26"/>
        <v>0</v>
      </c>
      <c r="J86" s="332">
        <f t="shared" si="26"/>
        <v>5</v>
      </c>
      <c r="K86" s="332">
        <f t="shared" si="26"/>
        <v>0</v>
      </c>
      <c r="L86" s="332">
        <f t="shared" si="26"/>
        <v>0</v>
      </c>
      <c r="M86" s="397">
        <f t="shared" si="26"/>
        <v>7</v>
      </c>
      <c r="N86" s="332">
        <f t="shared" si="26"/>
        <v>5</v>
      </c>
      <c r="O86" s="332">
        <f t="shared" si="26"/>
        <v>0</v>
      </c>
      <c r="P86" s="332">
        <f t="shared" si="26"/>
        <v>0</v>
      </c>
      <c r="Q86" s="332">
        <f t="shared" si="26"/>
        <v>0</v>
      </c>
      <c r="R86" s="332">
        <f t="shared" si="26"/>
        <v>7</v>
      </c>
      <c r="S86" s="332">
        <f t="shared" si="26"/>
        <v>7</v>
      </c>
      <c r="T86" s="332">
        <f t="shared" si="26"/>
        <v>0</v>
      </c>
      <c r="U86" s="332">
        <f t="shared" si="26"/>
        <v>0</v>
      </c>
      <c r="V86" s="332">
        <f t="shared" si="26"/>
        <v>0</v>
      </c>
      <c r="W86" s="332">
        <f t="shared" si="26"/>
        <v>0</v>
      </c>
      <c r="X86" s="332">
        <f t="shared" si="26"/>
        <v>0</v>
      </c>
      <c r="Y86" s="332">
        <f t="shared" si="26"/>
        <v>0</v>
      </c>
      <c r="Z86" s="332">
        <f t="shared" si="26"/>
        <v>0</v>
      </c>
      <c r="AA86" s="332">
        <f t="shared" si="26"/>
        <v>0</v>
      </c>
      <c r="AB86" s="332">
        <f t="shared" si="26"/>
        <v>0</v>
      </c>
      <c r="AC86" s="332">
        <f t="shared" si="26"/>
        <v>0</v>
      </c>
      <c r="AD86" s="332">
        <f t="shared" si="26"/>
        <v>0</v>
      </c>
      <c r="AE86" s="332">
        <f t="shared" si="26"/>
        <v>0</v>
      </c>
      <c r="AF86" s="332">
        <f t="shared" si="26"/>
        <v>0</v>
      </c>
      <c r="AG86" s="332">
        <f t="shared" si="26"/>
        <v>0</v>
      </c>
      <c r="AH86" s="332">
        <f t="shared" si="26"/>
        <v>0</v>
      </c>
      <c r="AI86" s="332">
        <f t="shared" si="26"/>
        <v>0</v>
      </c>
      <c r="AJ86" s="332">
        <f t="shared" si="26"/>
        <v>0</v>
      </c>
      <c r="AK86" s="332">
        <f t="shared" si="26"/>
        <v>0</v>
      </c>
      <c r="AL86" s="332">
        <f t="shared" si="26"/>
        <v>0</v>
      </c>
      <c r="AM86" s="332">
        <f t="shared" si="26"/>
        <v>0</v>
      </c>
      <c r="AN86" s="332">
        <f t="shared" si="26"/>
        <v>0</v>
      </c>
      <c r="AO86" s="332">
        <f t="shared" si="26"/>
        <v>0</v>
      </c>
      <c r="AP86" s="332">
        <f t="shared" si="26"/>
        <v>0</v>
      </c>
      <c r="AQ86" s="332">
        <f t="shared" si="26"/>
        <v>0</v>
      </c>
      <c r="AR86" s="332">
        <f t="shared" si="26"/>
        <v>6</v>
      </c>
      <c r="AS86" s="332">
        <f t="shared" si="26"/>
        <v>3</v>
      </c>
      <c r="AT86" s="332">
        <f t="shared" si="26"/>
        <v>0</v>
      </c>
      <c r="AU86" s="332">
        <f t="shared" si="26"/>
        <v>0</v>
      </c>
      <c r="AV86" s="332">
        <f t="shared" si="26"/>
        <v>0</v>
      </c>
      <c r="AW86" s="332">
        <f t="shared" si="26"/>
        <v>0</v>
      </c>
      <c r="AX86" s="332">
        <f t="shared" si="26"/>
        <v>0</v>
      </c>
      <c r="AY86" s="332">
        <f t="shared" si="26"/>
        <v>0</v>
      </c>
      <c r="AZ86" s="332">
        <f t="shared" si="26"/>
        <v>0</v>
      </c>
      <c r="BA86" s="332">
        <f t="shared" si="26"/>
        <v>0</v>
      </c>
      <c r="BB86" s="332">
        <f t="shared" si="26"/>
        <v>0</v>
      </c>
      <c r="BC86" s="332">
        <f t="shared" si="26"/>
        <v>0</v>
      </c>
      <c r="BD86" s="332">
        <f t="shared" si="26"/>
        <v>0</v>
      </c>
      <c r="BE86" s="332">
        <f t="shared" si="26"/>
        <v>0</v>
      </c>
      <c r="BF86" s="332">
        <f t="shared" si="26"/>
        <v>0</v>
      </c>
      <c r="BG86" s="332">
        <f t="shared" si="26"/>
        <v>0</v>
      </c>
      <c r="BH86" s="332">
        <f t="shared" si="26"/>
        <v>0</v>
      </c>
      <c r="BI86" s="332">
        <f t="shared" si="26"/>
        <v>0</v>
      </c>
      <c r="BJ86" s="332">
        <f t="shared" si="26"/>
        <v>0</v>
      </c>
      <c r="BK86" s="332">
        <f t="shared" si="26"/>
        <v>0</v>
      </c>
      <c r="BL86" s="332">
        <f t="shared" si="26"/>
        <v>0</v>
      </c>
      <c r="BM86" s="332">
        <f t="shared" si="26"/>
        <v>0</v>
      </c>
      <c r="BN86" s="332">
        <f t="shared" si="26"/>
        <v>0</v>
      </c>
      <c r="BO86" s="332">
        <f t="shared" si="26"/>
        <v>0</v>
      </c>
      <c r="BP86" s="332">
        <f t="shared" si="26"/>
        <v>79</v>
      </c>
      <c r="BQ86" s="332">
        <f t="shared" si="26"/>
        <v>79</v>
      </c>
      <c r="BR86" s="332">
        <f t="shared" ref="BR86:BS86" si="27">SUBTOTAL(103,BR5:BR83)</f>
        <v>79</v>
      </c>
      <c r="BS86" s="332">
        <f t="shared" si="27"/>
        <v>79</v>
      </c>
      <c r="BT86" s="337">
        <f>SUBTOTAL(109,BT5:BT84)</f>
        <v>18450000</v>
      </c>
      <c r="BU86" s="338">
        <f>SUBTOTAL(109,BU5:BU85)</f>
        <v>0</v>
      </c>
      <c r="BV86" s="208"/>
    </row>
    <row r="87" spans="1:74" x14ac:dyDescent="0.3">
      <c r="BT87" s="76"/>
      <c r="BU87" s="368">
        <f>BT86-BU86</f>
        <v>18450000</v>
      </c>
    </row>
    <row r="88" spans="1:74" x14ac:dyDescent="0.3">
      <c r="BT88" s="76"/>
      <c r="BU88" s="76"/>
    </row>
    <row r="89" spans="1:74" x14ac:dyDescent="0.3">
      <c r="BT89" s="76"/>
    </row>
    <row r="90" spans="1:74" s="6" customFormat="1" x14ac:dyDescent="0.3">
      <c r="A90" s="487" t="s">
        <v>399</v>
      </c>
      <c r="B90" s="488"/>
      <c r="C90" s="488"/>
      <c r="D90" s="488"/>
      <c r="E90" s="488"/>
      <c r="F90" s="488"/>
      <c r="G90" s="488"/>
      <c r="H90" s="488"/>
      <c r="I90" s="488"/>
      <c r="J90" s="382"/>
      <c r="K90" s="382"/>
      <c r="L90" s="382"/>
      <c r="M90" s="399"/>
      <c r="N90" s="382"/>
      <c r="O90" s="382"/>
      <c r="P90" s="382"/>
      <c r="Q90" s="382"/>
      <c r="R90" s="382"/>
      <c r="S90" s="382"/>
      <c r="T90" s="382"/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2"/>
      <c r="AQ90" s="382"/>
      <c r="AR90" s="382"/>
      <c r="AS90" s="382"/>
      <c r="AT90" s="382"/>
      <c r="AU90" s="382"/>
      <c r="AV90" s="382"/>
      <c r="AW90" s="382"/>
      <c r="AX90" s="382"/>
      <c r="AY90" s="382"/>
      <c r="AZ90" s="382"/>
      <c r="BA90" s="382"/>
      <c r="BB90" s="382"/>
      <c r="BC90" s="382"/>
      <c r="BD90" s="382"/>
      <c r="BE90" s="382"/>
      <c r="BF90" s="382"/>
      <c r="BG90" s="382"/>
      <c r="BH90" s="382"/>
      <c r="BI90" s="382"/>
      <c r="BJ90" s="382"/>
      <c r="BK90" s="382"/>
      <c r="BL90" s="382"/>
      <c r="BM90" s="382"/>
      <c r="BN90" s="382"/>
      <c r="BO90" s="382"/>
      <c r="BP90" s="382"/>
      <c r="BQ90" s="382"/>
      <c r="BR90" s="382"/>
    </row>
    <row r="91" spans="1:74" s="6" customFormat="1" x14ac:dyDescent="0.3">
      <c r="A91" s="383" t="s">
        <v>319</v>
      </c>
      <c r="B91" s="496" t="s">
        <v>400</v>
      </c>
      <c r="C91" s="497"/>
      <c r="D91" s="498"/>
      <c r="E91" s="381"/>
      <c r="F91" s="499" t="s">
        <v>12</v>
      </c>
      <c r="G91" s="499"/>
      <c r="H91" s="499"/>
      <c r="I91" s="499"/>
      <c r="J91" s="382"/>
      <c r="K91" s="382"/>
      <c r="L91" s="382"/>
      <c r="M91" s="399"/>
      <c r="N91" s="382"/>
      <c r="O91" s="382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82"/>
      <c r="AH91" s="382"/>
      <c r="AI91" s="382"/>
      <c r="AJ91" s="382"/>
      <c r="AK91" s="382"/>
      <c r="AL91" s="382"/>
      <c r="AM91" s="382"/>
      <c r="AN91" s="382"/>
      <c r="AO91" s="382"/>
      <c r="AP91" s="382"/>
      <c r="AQ91" s="382"/>
      <c r="AR91" s="382"/>
      <c r="AS91" s="382"/>
      <c r="AT91" s="382"/>
      <c r="AU91" s="382"/>
      <c r="AV91" s="382"/>
      <c r="AW91" s="382"/>
      <c r="AX91" s="382"/>
      <c r="AY91" s="382"/>
      <c r="AZ91" s="382"/>
      <c r="BA91" s="382"/>
      <c r="BB91" s="382"/>
      <c r="BC91" s="382"/>
      <c r="BD91" s="382"/>
      <c r="BE91" s="382"/>
      <c r="BF91" s="382"/>
      <c r="BG91" s="382"/>
      <c r="BH91" s="382"/>
      <c r="BI91" s="382"/>
      <c r="BJ91" s="382"/>
      <c r="BK91" s="382"/>
      <c r="BL91" s="382"/>
      <c r="BM91" s="382"/>
      <c r="BN91" s="382"/>
      <c r="BO91" s="382"/>
      <c r="BP91" s="382"/>
      <c r="BQ91" s="382"/>
      <c r="BR91" s="382"/>
    </row>
    <row r="92" spans="1:74" x14ac:dyDescent="0.3">
      <c r="A92" s="384">
        <v>1</v>
      </c>
      <c r="B92" s="493" t="s">
        <v>401</v>
      </c>
      <c r="C92" s="494"/>
      <c r="D92" s="495"/>
      <c r="F92" s="489">
        <v>1500000</v>
      </c>
      <c r="G92" s="489"/>
      <c r="H92" s="489"/>
      <c r="I92" s="489"/>
    </row>
    <row r="93" spans="1:74" x14ac:dyDescent="0.3">
      <c r="A93" s="384">
        <v>2</v>
      </c>
      <c r="B93" s="493" t="s">
        <v>402</v>
      </c>
      <c r="C93" s="494"/>
      <c r="D93" s="495"/>
      <c r="F93" s="489">
        <v>1200000</v>
      </c>
      <c r="G93" s="489"/>
      <c r="H93" s="489"/>
      <c r="I93" s="489"/>
    </row>
    <row r="94" spans="1:74" x14ac:dyDescent="0.3">
      <c r="A94" s="384">
        <v>3</v>
      </c>
      <c r="B94" s="493" t="s">
        <v>403</v>
      </c>
      <c r="C94" s="494"/>
      <c r="D94" s="495"/>
      <c r="F94" s="489">
        <v>2000000</v>
      </c>
      <c r="G94" s="489"/>
      <c r="H94" s="489"/>
      <c r="I94" s="489"/>
    </row>
    <row r="95" spans="1:74" x14ac:dyDescent="0.3">
      <c r="A95" s="384">
        <v>4</v>
      </c>
      <c r="B95" s="493" t="s">
        <v>404</v>
      </c>
      <c r="C95" s="494"/>
      <c r="D95" s="495"/>
      <c r="F95" s="489">
        <v>230000</v>
      </c>
      <c r="G95" s="489"/>
      <c r="H95" s="489"/>
      <c r="I95" s="489"/>
    </row>
    <row r="96" spans="1:74" s="31" customFormat="1" ht="31.2" customHeight="1" x14ac:dyDescent="0.3">
      <c r="A96" s="384">
        <v>5</v>
      </c>
      <c r="B96" s="490" t="s">
        <v>405</v>
      </c>
      <c r="C96" s="491"/>
      <c r="D96" s="492"/>
      <c r="E96" s="129"/>
      <c r="F96" s="500">
        <v>550000</v>
      </c>
      <c r="G96" s="500"/>
      <c r="H96" s="500"/>
      <c r="I96" s="500"/>
      <c r="J96" s="3"/>
      <c r="K96" s="3"/>
      <c r="L96" s="3"/>
      <c r="M96" s="400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x14ac:dyDescent="0.3">
      <c r="A97" s="384">
        <v>6</v>
      </c>
      <c r="B97" s="493" t="s">
        <v>407</v>
      </c>
      <c r="C97" s="494"/>
      <c r="D97" s="495"/>
      <c r="F97" s="489">
        <v>5470000</v>
      </c>
      <c r="G97" s="489"/>
      <c r="H97" s="489"/>
      <c r="I97" s="489"/>
    </row>
    <row r="98" spans="1:70" x14ac:dyDescent="0.3">
      <c r="A98" s="384">
        <v>7</v>
      </c>
      <c r="B98" s="493" t="s">
        <v>408</v>
      </c>
      <c r="C98" s="494"/>
      <c r="D98" s="495"/>
      <c r="F98" s="489">
        <v>200000</v>
      </c>
      <c r="G98" s="489"/>
      <c r="H98" s="489"/>
      <c r="I98" s="489"/>
    </row>
    <row r="99" spans="1:70" x14ac:dyDescent="0.3">
      <c r="A99" s="384">
        <v>8</v>
      </c>
      <c r="B99" s="493" t="s">
        <v>409</v>
      </c>
      <c r="C99" s="494"/>
      <c r="D99" s="495"/>
      <c r="F99" s="489">
        <v>320000</v>
      </c>
      <c r="G99" s="489"/>
      <c r="H99" s="489"/>
      <c r="I99" s="489"/>
      <c r="J99" s="393" t="s">
        <v>413</v>
      </c>
    </row>
    <row r="100" spans="1:70" x14ac:dyDescent="0.3">
      <c r="A100" s="384">
        <v>9</v>
      </c>
      <c r="B100" s="493" t="s">
        <v>410</v>
      </c>
      <c r="C100" s="494"/>
      <c r="D100" s="495"/>
      <c r="F100" s="489">
        <v>374000</v>
      </c>
      <c r="G100" s="489"/>
      <c r="H100" s="489"/>
      <c r="I100" s="489"/>
      <c r="J100" s="393" t="s">
        <v>413</v>
      </c>
    </row>
    <row r="101" spans="1:70" x14ac:dyDescent="0.3">
      <c r="A101" s="384">
        <v>10</v>
      </c>
      <c r="B101" s="385" t="s">
        <v>411</v>
      </c>
      <c r="C101" s="386"/>
      <c r="D101" s="387"/>
      <c r="F101" s="489">
        <v>103000</v>
      </c>
      <c r="G101" s="489"/>
      <c r="H101" s="489"/>
      <c r="I101" s="489"/>
      <c r="J101" s="393" t="s">
        <v>413</v>
      </c>
    </row>
    <row r="102" spans="1:70" x14ac:dyDescent="0.3">
      <c r="A102" s="384">
        <v>11</v>
      </c>
      <c r="B102" s="385" t="s">
        <v>412</v>
      </c>
      <c r="C102" s="386"/>
      <c r="D102" s="387"/>
      <c r="F102" s="489">
        <v>424000</v>
      </c>
      <c r="G102" s="489"/>
      <c r="H102" s="489"/>
      <c r="I102" s="489"/>
      <c r="J102" s="393" t="s">
        <v>413</v>
      </c>
    </row>
    <row r="103" spans="1:70" s="6" customFormat="1" x14ac:dyDescent="0.3">
      <c r="A103" s="388"/>
      <c r="B103" s="496" t="s">
        <v>27</v>
      </c>
      <c r="C103" s="497"/>
      <c r="D103" s="498"/>
      <c r="E103" s="381"/>
      <c r="F103" s="486">
        <f>SUM(F92:I102)</f>
        <v>12371000</v>
      </c>
      <c r="G103" s="486"/>
      <c r="H103" s="486"/>
      <c r="I103" s="486"/>
      <c r="J103" s="382"/>
      <c r="K103" s="382"/>
      <c r="L103" s="382"/>
      <c r="M103" s="399"/>
      <c r="N103" s="382"/>
      <c r="O103" s="382"/>
      <c r="P103" s="382"/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  <c r="AA103" s="382"/>
      <c r="AB103" s="382"/>
      <c r="AC103" s="382"/>
      <c r="AD103" s="382"/>
      <c r="AE103" s="382"/>
      <c r="AF103" s="382"/>
      <c r="AG103" s="382"/>
      <c r="AH103" s="382"/>
      <c r="AI103" s="382"/>
      <c r="AJ103" s="382"/>
      <c r="AK103" s="382"/>
      <c r="AL103" s="382"/>
      <c r="AM103" s="382"/>
      <c r="AN103" s="382"/>
      <c r="AO103" s="382"/>
      <c r="AP103" s="382"/>
      <c r="AQ103" s="382"/>
      <c r="AR103" s="382"/>
      <c r="AS103" s="382"/>
      <c r="AT103" s="382"/>
      <c r="AU103" s="382"/>
      <c r="AV103" s="382"/>
      <c r="AW103" s="382"/>
      <c r="AX103" s="382"/>
      <c r="AY103" s="382"/>
      <c r="AZ103" s="382"/>
      <c r="BA103" s="382"/>
      <c r="BB103" s="382"/>
      <c r="BC103" s="382"/>
      <c r="BD103" s="382"/>
      <c r="BE103" s="382"/>
      <c r="BF103" s="382"/>
      <c r="BG103" s="382"/>
      <c r="BH103" s="382"/>
      <c r="BI103" s="382"/>
      <c r="BJ103" s="382"/>
      <c r="BK103" s="382"/>
      <c r="BL103" s="382"/>
      <c r="BM103" s="382"/>
      <c r="BN103" s="382"/>
      <c r="BO103" s="382"/>
      <c r="BP103" s="382"/>
      <c r="BQ103" s="382"/>
      <c r="BR103" s="382"/>
    </row>
  </sheetData>
  <autoFilter ref="A4:BV84"/>
  <mergeCells count="39">
    <mergeCell ref="A1:BU1"/>
    <mergeCell ref="F2:S2"/>
    <mergeCell ref="T2:AW2"/>
    <mergeCell ref="AX2:BO2"/>
    <mergeCell ref="B98:D98"/>
    <mergeCell ref="B99:D99"/>
    <mergeCell ref="B100:D100"/>
    <mergeCell ref="BR3:BR4"/>
    <mergeCell ref="BS3:BS4"/>
    <mergeCell ref="F97:I97"/>
    <mergeCell ref="B91:D91"/>
    <mergeCell ref="B92:D92"/>
    <mergeCell ref="B93:D93"/>
    <mergeCell ref="B94:D94"/>
    <mergeCell ref="B95:D95"/>
    <mergeCell ref="BT3:BT4"/>
    <mergeCell ref="BU3:BU4"/>
    <mergeCell ref="A3:A4"/>
    <mergeCell ref="B3:B4"/>
    <mergeCell ref="C3:C4"/>
    <mergeCell ref="D3:D4"/>
    <mergeCell ref="BP3:BP4"/>
    <mergeCell ref="BQ3:BQ4"/>
    <mergeCell ref="F103:I103"/>
    <mergeCell ref="A90:I90"/>
    <mergeCell ref="F98:I98"/>
    <mergeCell ref="F99:I99"/>
    <mergeCell ref="F100:I100"/>
    <mergeCell ref="F101:I101"/>
    <mergeCell ref="F102:I102"/>
    <mergeCell ref="B96:D96"/>
    <mergeCell ref="B97:D97"/>
    <mergeCell ref="B103:D103"/>
    <mergeCell ref="F91:I91"/>
    <mergeCell ref="F92:I92"/>
    <mergeCell ref="F93:I93"/>
    <mergeCell ref="F94:I94"/>
    <mergeCell ref="F95:I95"/>
    <mergeCell ref="F96:I96"/>
  </mergeCells>
  <conditionalFormatting sqref="E86:BS86">
    <cfRule type="expression" dxfId="1" priority="1">
      <formula>IF(E$4="cn",1,0)</formula>
    </cfRule>
  </conditionalFormatting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V103"/>
  <sheetViews>
    <sheetView topLeftCell="A25" workbookViewId="0">
      <selection activeCell="BM11" sqref="BM11"/>
    </sheetView>
  </sheetViews>
  <sheetFormatPr defaultRowHeight="15.6" x14ac:dyDescent="0.3"/>
  <cols>
    <col min="1" max="1" width="5.44140625" style="62" customWidth="1"/>
    <col min="2" max="2" width="20.88671875" style="1" customWidth="1"/>
    <col min="3" max="3" width="27.21875" style="1" hidden="1" customWidth="1"/>
    <col min="4" max="4" width="7.77734375" style="3" customWidth="1"/>
    <col min="5" max="5" width="3.77734375" style="129" hidden="1" customWidth="1"/>
    <col min="6" max="12" width="3.77734375" style="176" hidden="1" customWidth="1"/>
    <col min="13" max="13" width="3.77734375" style="398" hidden="1" customWidth="1"/>
    <col min="14" max="38" width="3.77734375" style="176" hidden="1" customWidth="1"/>
    <col min="39" max="67" width="3.77734375" style="176" customWidth="1"/>
    <col min="68" max="68" width="6.21875" style="176" customWidth="1"/>
    <col min="69" max="69" width="6.6640625" style="176" customWidth="1"/>
    <col min="70" max="70" width="6.21875" style="176" customWidth="1"/>
    <col min="71" max="71" width="10.88671875" style="1" customWidth="1"/>
    <col min="72" max="72" width="13.109375" style="1" customWidth="1"/>
    <col min="73" max="73" width="12.5546875" style="1" customWidth="1"/>
    <col min="74" max="74" width="22" style="1" customWidth="1"/>
    <col min="75" max="16384" width="8.88671875" style="1"/>
  </cols>
  <sheetData>
    <row r="1" spans="1:74" ht="18" thickBot="1" x14ac:dyDescent="0.35">
      <c r="A1" s="501" t="s">
        <v>419</v>
      </c>
      <c r="B1" s="501"/>
      <c r="C1" s="501"/>
      <c r="D1" s="501"/>
      <c r="E1" s="501"/>
      <c r="F1" s="501"/>
      <c r="G1" s="501"/>
      <c r="H1" s="501"/>
      <c r="I1" s="501"/>
      <c r="J1" s="501"/>
      <c r="K1" s="501"/>
      <c r="L1" s="501"/>
      <c r="M1" s="501"/>
      <c r="N1" s="501"/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</row>
    <row r="2" spans="1:74" ht="27.6" customHeight="1" thickBot="1" x14ac:dyDescent="0.35">
      <c r="A2" s="502"/>
      <c r="B2" s="502"/>
      <c r="C2" s="502"/>
      <c r="D2" s="502"/>
      <c r="E2" s="502"/>
      <c r="F2" s="503" t="s">
        <v>416</v>
      </c>
      <c r="G2" s="503"/>
      <c r="H2" s="503"/>
      <c r="I2" s="503"/>
      <c r="J2" s="503"/>
      <c r="K2" s="503"/>
      <c r="L2" s="503"/>
      <c r="M2" s="503"/>
      <c r="N2" s="503"/>
      <c r="O2" s="503"/>
      <c r="P2" s="503"/>
      <c r="Q2" s="503"/>
      <c r="R2" s="503"/>
      <c r="S2" s="503"/>
      <c r="T2" s="503" t="s">
        <v>417</v>
      </c>
      <c r="U2" s="503"/>
      <c r="V2" s="503"/>
      <c r="W2" s="503"/>
      <c r="X2" s="503"/>
      <c r="Y2" s="503"/>
      <c r="Z2" s="503"/>
      <c r="AA2" s="503"/>
      <c r="AB2" s="503"/>
      <c r="AC2" s="503"/>
      <c r="AD2" s="503"/>
      <c r="AE2" s="503"/>
      <c r="AF2" s="503"/>
      <c r="AG2" s="503"/>
      <c r="AH2" s="503"/>
      <c r="AI2" s="503"/>
      <c r="AJ2" s="503"/>
      <c r="AK2" s="503"/>
      <c r="AL2" s="503"/>
      <c r="AM2" s="503"/>
      <c r="AN2" s="503"/>
      <c r="AO2" s="503"/>
      <c r="AP2" s="503"/>
      <c r="AQ2" s="503"/>
      <c r="AR2" s="503"/>
      <c r="AS2" s="503"/>
      <c r="AT2" s="503"/>
      <c r="AU2" s="503"/>
      <c r="AV2" s="503"/>
      <c r="AW2" s="503"/>
      <c r="AX2" s="503" t="s">
        <v>418</v>
      </c>
      <c r="AY2" s="503"/>
      <c r="AZ2" s="503"/>
      <c r="BA2" s="503"/>
      <c r="BB2" s="503"/>
      <c r="BC2" s="503"/>
      <c r="BD2" s="503"/>
      <c r="BE2" s="503"/>
      <c r="BF2" s="503"/>
      <c r="BG2" s="503"/>
      <c r="BH2" s="503"/>
      <c r="BI2" s="503"/>
      <c r="BJ2" s="503"/>
      <c r="BK2" s="503"/>
      <c r="BL2" s="503"/>
      <c r="BM2" s="503"/>
      <c r="BN2" s="503"/>
      <c r="BO2" s="503"/>
      <c r="BP2" s="502"/>
      <c r="BQ2" s="502"/>
      <c r="BR2" s="502"/>
      <c r="BS2" s="502"/>
      <c r="BT2" s="502"/>
      <c r="BU2" s="502"/>
    </row>
    <row r="3" spans="1:74" s="3" customFormat="1" x14ac:dyDescent="0.3">
      <c r="A3" s="414" t="s">
        <v>0</v>
      </c>
      <c r="B3" s="416" t="s">
        <v>1</v>
      </c>
      <c r="C3" s="416" t="s">
        <v>79</v>
      </c>
      <c r="D3" s="424" t="s">
        <v>358</v>
      </c>
      <c r="E3" s="22">
        <v>1</v>
      </c>
      <c r="F3" s="23">
        <v>18</v>
      </c>
      <c r="G3" s="23">
        <f t="shared" ref="G3:S3" si="0">F3+1</f>
        <v>19</v>
      </c>
      <c r="H3" s="23">
        <f t="shared" si="0"/>
        <v>20</v>
      </c>
      <c r="I3" s="23">
        <f t="shared" si="0"/>
        <v>21</v>
      </c>
      <c r="J3" s="23">
        <f t="shared" si="0"/>
        <v>22</v>
      </c>
      <c r="K3" s="23">
        <f t="shared" si="0"/>
        <v>23</v>
      </c>
      <c r="L3" s="23">
        <f t="shared" si="0"/>
        <v>24</v>
      </c>
      <c r="M3" s="23">
        <f t="shared" si="0"/>
        <v>25</v>
      </c>
      <c r="N3" s="23">
        <f t="shared" si="0"/>
        <v>26</v>
      </c>
      <c r="O3" s="23">
        <f t="shared" si="0"/>
        <v>27</v>
      </c>
      <c r="P3" s="23">
        <f t="shared" si="0"/>
        <v>28</v>
      </c>
      <c r="Q3" s="23">
        <f t="shared" si="0"/>
        <v>29</v>
      </c>
      <c r="R3" s="23">
        <f t="shared" si="0"/>
        <v>30</v>
      </c>
      <c r="S3" s="23">
        <f t="shared" si="0"/>
        <v>31</v>
      </c>
      <c r="T3" s="23">
        <v>1</v>
      </c>
      <c r="U3" s="23">
        <v>2</v>
      </c>
      <c r="V3" s="23">
        <v>3</v>
      </c>
      <c r="W3" s="23">
        <v>4</v>
      </c>
      <c r="X3" s="23">
        <v>5</v>
      </c>
      <c r="Y3" s="23">
        <v>6</v>
      </c>
      <c r="Z3" s="23">
        <v>7</v>
      </c>
      <c r="AA3" s="23">
        <v>8</v>
      </c>
      <c r="AB3" s="23">
        <v>9</v>
      </c>
      <c r="AC3" s="23">
        <v>10</v>
      </c>
      <c r="AD3" s="23">
        <v>11</v>
      </c>
      <c r="AE3" s="23">
        <v>12</v>
      </c>
      <c r="AF3" s="23">
        <v>13</v>
      </c>
      <c r="AG3" s="23">
        <v>14</v>
      </c>
      <c r="AH3" s="23">
        <v>15</v>
      </c>
      <c r="AI3" s="23">
        <v>16</v>
      </c>
      <c r="AJ3" s="23">
        <v>17</v>
      </c>
      <c r="AK3" s="23">
        <v>18</v>
      </c>
      <c r="AL3" s="23">
        <v>19</v>
      </c>
      <c r="AM3" s="23">
        <v>20</v>
      </c>
      <c r="AN3" s="23">
        <v>21</v>
      </c>
      <c r="AO3" s="23">
        <v>22</v>
      </c>
      <c r="AP3" s="23">
        <v>23</v>
      </c>
      <c r="AQ3" s="23">
        <v>24</v>
      </c>
      <c r="AR3" s="23">
        <v>25</v>
      </c>
      <c r="AS3" s="23">
        <v>26</v>
      </c>
      <c r="AT3" s="23">
        <v>27</v>
      </c>
      <c r="AU3" s="23">
        <v>28</v>
      </c>
      <c r="AV3" s="23">
        <v>29</v>
      </c>
      <c r="AW3" s="23">
        <v>30</v>
      </c>
      <c r="AX3" s="23">
        <v>1</v>
      </c>
      <c r="AY3" s="23">
        <v>2</v>
      </c>
      <c r="AZ3" s="23">
        <v>3</v>
      </c>
      <c r="BA3" s="23">
        <v>4</v>
      </c>
      <c r="BB3" s="23">
        <v>5</v>
      </c>
      <c r="BC3" s="23">
        <v>6</v>
      </c>
      <c r="BD3" s="23">
        <v>7</v>
      </c>
      <c r="BE3" s="23">
        <v>8</v>
      </c>
      <c r="BF3" s="23">
        <v>9</v>
      </c>
      <c r="BG3" s="23">
        <v>10</v>
      </c>
      <c r="BH3" s="23">
        <v>11</v>
      </c>
      <c r="BI3" s="23">
        <v>12</v>
      </c>
      <c r="BJ3" s="23">
        <v>13</v>
      </c>
      <c r="BK3" s="23">
        <v>14</v>
      </c>
      <c r="BL3" s="23">
        <v>15</v>
      </c>
      <c r="BM3" s="23">
        <v>16</v>
      </c>
      <c r="BN3" s="23">
        <v>17</v>
      </c>
      <c r="BO3" s="23">
        <v>18</v>
      </c>
      <c r="BP3" s="432" t="s">
        <v>6</v>
      </c>
      <c r="BQ3" s="422" t="s">
        <v>7</v>
      </c>
      <c r="BR3" s="436" t="s">
        <v>357</v>
      </c>
      <c r="BS3" s="438" t="s">
        <v>30</v>
      </c>
      <c r="BT3" s="428" t="s">
        <v>33</v>
      </c>
      <c r="BU3" s="430" t="s">
        <v>127</v>
      </c>
    </row>
    <row r="4" spans="1:74" s="3" customFormat="1" ht="16.2" thickBot="1" x14ac:dyDescent="0.35">
      <c r="A4" s="415"/>
      <c r="B4" s="417"/>
      <c r="C4" s="417"/>
      <c r="D4" s="425"/>
      <c r="E4" s="125" t="s">
        <v>98</v>
      </c>
      <c r="F4" s="378" t="s">
        <v>94</v>
      </c>
      <c r="G4" s="213" t="s">
        <v>95</v>
      </c>
      <c r="H4" s="377" t="s">
        <v>97</v>
      </c>
      <c r="I4" s="379" t="s">
        <v>96</v>
      </c>
      <c r="J4" s="379" t="s">
        <v>98</v>
      </c>
      <c r="K4" s="379" t="s">
        <v>99</v>
      </c>
      <c r="L4" s="379" t="s">
        <v>93</v>
      </c>
      <c r="M4" s="396" t="s">
        <v>94</v>
      </c>
      <c r="N4" s="213" t="s">
        <v>95</v>
      </c>
      <c r="O4" s="377" t="s">
        <v>97</v>
      </c>
      <c r="P4" s="379" t="s">
        <v>96</v>
      </c>
      <c r="Q4" s="379" t="s">
        <v>98</v>
      </c>
      <c r="R4" s="379" t="s">
        <v>99</v>
      </c>
      <c r="S4" s="379" t="s">
        <v>93</v>
      </c>
      <c r="T4" s="378" t="s">
        <v>94</v>
      </c>
      <c r="U4" s="213" t="s">
        <v>95</v>
      </c>
      <c r="V4" s="377" t="s">
        <v>97</v>
      </c>
      <c r="W4" s="379" t="s">
        <v>96</v>
      </c>
      <c r="X4" s="379" t="s">
        <v>98</v>
      </c>
      <c r="Y4" s="379" t="s">
        <v>99</v>
      </c>
      <c r="Z4" s="379" t="s">
        <v>93</v>
      </c>
      <c r="AA4" s="378" t="s">
        <v>94</v>
      </c>
      <c r="AB4" s="213" t="s">
        <v>95</v>
      </c>
      <c r="AC4" s="377" t="s">
        <v>97</v>
      </c>
      <c r="AD4" s="379" t="s">
        <v>96</v>
      </c>
      <c r="AE4" s="379" t="s">
        <v>98</v>
      </c>
      <c r="AF4" s="379" t="s">
        <v>99</v>
      </c>
      <c r="AG4" s="379" t="s">
        <v>93</v>
      </c>
      <c r="AH4" s="378" t="s">
        <v>94</v>
      </c>
      <c r="AI4" s="213" t="s">
        <v>95</v>
      </c>
      <c r="AJ4" s="377" t="s">
        <v>97</v>
      </c>
      <c r="AK4" s="379" t="s">
        <v>96</v>
      </c>
      <c r="AL4" s="379" t="s">
        <v>98</v>
      </c>
      <c r="AM4" s="379" t="s">
        <v>99</v>
      </c>
      <c r="AN4" s="379" t="s">
        <v>93</v>
      </c>
      <c r="AO4" s="378" t="s">
        <v>94</v>
      </c>
      <c r="AP4" s="213" t="s">
        <v>95</v>
      </c>
      <c r="AQ4" s="377" t="s">
        <v>97</v>
      </c>
      <c r="AR4" s="379" t="s">
        <v>96</v>
      </c>
      <c r="AS4" s="379" t="s">
        <v>98</v>
      </c>
      <c r="AT4" s="379" t="s">
        <v>99</v>
      </c>
      <c r="AU4" s="379" t="s">
        <v>93</v>
      </c>
      <c r="AV4" s="378" t="s">
        <v>94</v>
      </c>
      <c r="AW4" s="213" t="s">
        <v>95</v>
      </c>
      <c r="AX4" s="377" t="s">
        <v>97</v>
      </c>
      <c r="AY4" s="379" t="s">
        <v>96</v>
      </c>
      <c r="AZ4" s="379" t="s">
        <v>98</v>
      </c>
      <c r="BA4" s="379" t="s">
        <v>99</v>
      </c>
      <c r="BB4" s="379" t="s">
        <v>93</v>
      </c>
      <c r="BC4" s="378" t="s">
        <v>94</v>
      </c>
      <c r="BD4" s="213" t="s">
        <v>95</v>
      </c>
      <c r="BE4" s="377" t="s">
        <v>97</v>
      </c>
      <c r="BF4" s="379" t="s">
        <v>96</v>
      </c>
      <c r="BG4" s="379" t="s">
        <v>98</v>
      </c>
      <c r="BH4" s="379" t="s">
        <v>99</v>
      </c>
      <c r="BI4" s="379" t="s">
        <v>93</v>
      </c>
      <c r="BJ4" s="378" t="s">
        <v>94</v>
      </c>
      <c r="BK4" s="213" t="s">
        <v>95</v>
      </c>
      <c r="BL4" s="377" t="s">
        <v>97</v>
      </c>
      <c r="BM4" s="379" t="s">
        <v>96</v>
      </c>
      <c r="BN4" s="379" t="s">
        <v>98</v>
      </c>
      <c r="BO4" s="379" t="s">
        <v>99</v>
      </c>
      <c r="BP4" s="433"/>
      <c r="BQ4" s="423"/>
      <c r="BR4" s="437"/>
      <c r="BS4" s="439"/>
      <c r="BT4" s="440"/>
      <c r="BU4" s="441"/>
    </row>
    <row r="5" spans="1:74" s="3" customFormat="1" x14ac:dyDescent="0.3">
      <c r="A5" s="130">
        <v>1</v>
      </c>
      <c r="B5" s="131" t="s">
        <v>2</v>
      </c>
      <c r="C5" s="132">
        <f>SUBTOTAL(103,C6:C23)</f>
        <v>15</v>
      </c>
      <c r="D5" s="201" t="s">
        <v>128</v>
      </c>
      <c r="E5" s="263"/>
      <c r="F5" s="135"/>
      <c r="G5" s="135"/>
      <c r="H5" s="135"/>
      <c r="I5" s="135"/>
      <c r="J5" s="135"/>
      <c r="K5" s="135"/>
      <c r="L5" s="135"/>
      <c r="M5" s="394"/>
      <c r="N5" s="135"/>
      <c r="O5" s="135"/>
      <c r="P5" s="135"/>
      <c r="Q5" s="135"/>
      <c r="R5" s="209"/>
      <c r="S5" s="209"/>
      <c r="T5" s="209"/>
      <c r="U5" s="209"/>
      <c r="V5" s="209"/>
      <c r="W5" s="209"/>
      <c r="X5" s="209"/>
      <c r="Y5" s="209"/>
      <c r="Z5" s="209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09"/>
      <c r="AS5" s="209"/>
      <c r="AT5" s="209"/>
      <c r="AU5" s="209"/>
      <c r="AV5" s="209"/>
      <c r="AW5" s="209"/>
      <c r="AX5" s="209"/>
      <c r="AY5" s="209"/>
      <c r="AZ5" s="209"/>
      <c r="BA5" s="209"/>
      <c r="BB5" s="209"/>
      <c r="BC5" s="209"/>
      <c r="BD5" s="209"/>
      <c r="BE5" s="209"/>
      <c r="BF5" s="209"/>
      <c r="BG5" s="209"/>
      <c r="BH5" s="209"/>
      <c r="BI5" s="209"/>
      <c r="BJ5" s="209"/>
      <c r="BK5" s="209"/>
      <c r="BL5" s="209"/>
      <c r="BM5" s="209"/>
      <c r="BN5" s="209"/>
      <c r="BO5" s="137"/>
      <c r="BP5" s="240">
        <f>COUNTIF(E5:H5,"X")</f>
        <v>0</v>
      </c>
      <c r="BQ5" s="123">
        <f>COUNTIF(E5:E5,"X/2")/2</f>
        <v>0</v>
      </c>
      <c r="BR5" s="272">
        <f t="shared" ref="BR5:BR68" si="1">SUM(BP5:BQ5)</f>
        <v>0</v>
      </c>
      <c r="BS5" s="268">
        <v>550000</v>
      </c>
      <c r="BT5" s="376">
        <f t="shared" ref="BT5:BT68" si="2">BR5*BS5</f>
        <v>0</v>
      </c>
      <c r="BU5" s="367"/>
      <c r="BV5" s="31"/>
    </row>
    <row r="6" spans="1:74" s="31" customFormat="1" x14ac:dyDescent="0.3">
      <c r="A6" s="61">
        <v>2</v>
      </c>
      <c r="B6" s="28" t="s">
        <v>36</v>
      </c>
      <c r="C6" s="48" t="s">
        <v>60</v>
      </c>
      <c r="D6" s="202" t="s">
        <v>4</v>
      </c>
      <c r="E6" s="41"/>
      <c r="F6" s="21"/>
      <c r="G6" s="21"/>
      <c r="H6" s="21"/>
      <c r="I6" s="21"/>
      <c r="J6" s="21"/>
      <c r="K6" s="21"/>
      <c r="L6" s="21"/>
      <c r="M6" s="146"/>
      <c r="N6" s="21"/>
      <c r="O6" s="21"/>
      <c r="P6" s="21"/>
      <c r="Q6" s="21"/>
      <c r="R6" s="210"/>
      <c r="S6" s="210"/>
      <c r="T6" s="210"/>
      <c r="U6" s="210"/>
      <c r="V6" s="210"/>
      <c r="W6" s="210"/>
      <c r="X6" s="210"/>
      <c r="Y6" s="210"/>
      <c r="Z6" s="210"/>
      <c r="AA6" s="210"/>
      <c r="AB6" s="210"/>
      <c r="AC6" s="210"/>
      <c r="AD6" s="210"/>
      <c r="AE6" s="210"/>
      <c r="AF6" s="210"/>
      <c r="AG6" s="210"/>
      <c r="AH6" s="210"/>
      <c r="AI6" s="210"/>
      <c r="AJ6" s="210"/>
      <c r="AK6" s="210"/>
      <c r="AL6" s="210"/>
      <c r="AM6" s="210"/>
      <c r="AN6" s="210"/>
      <c r="AO6" s="210"/>
      <c r="AP6" s="210"/>
      <c r="AQ6" s="210"/>
      <c r="AR6" s="210"/>
      <c r="AS6" s="210"/>
      <c r="AT6" s="210"/>
      <c r="AU6" s="210"/>
      <c r="AV6" s="210"/>
      <c r="AW6" s="210"/>
      <c r="AX6" s="210"/>
      <c r="AY6" s="210"/>
      <c r="AZ6" s="210"/>
      <c r="BA6" s="210"/>
      <c r="BB6" s="210"/>
      <c r="BC6" s="210"/>
      <c r="BD6" s="210"/>
      <c r="BE6" s="210"/>
      <c r="BF6" s="210"/>
      <c r="BG6" s="210"/>
      <c r="BH6" s="210"/>
      <c r="BI6" s="210"/>
      <c r="BJ6" s="210"/>
      <c r="BK6" s="210"/>
      <c r="BL6" s="210"/>
      <c r="BM6" s="210"/>
      <c r="BN6" s="210"/>
      <c r="BO6" s="25"/>
      <c r="BP6" s="242">
        <f>COUNTIF(E6:H6,"X")</f>
        <v>0</v>
      </c>
      <c r="BQ6" s="78">
        <f>COUNTIF(E6:H6,"X/2")/2</f>
        <v>0</v>
      </c>
      <c r="BR6" s="273">
        <f t="shared" si="1"/>
        <v>0</v>
      </c>
      <c r="BS6" s="269">
        <v>380000</v>
      </c>
      <c r="BT6" s="52">
        <f t="shared" si="2"/>
        <v>0</v>
      </c>
      <c r="BU6" s="355"/>
    </row>
    <row r="7" spans="1:74" s="31" customFormat="1" x14ac:dyDescent="0.3">
      <c r="A7" s="61">
        <v>3</v>
      </c>
      <c r="B7" s="28" t="s">
        <v>35</v>
      </c>
      <c r="C7" s="48" t="s">
        <v>80</v>
      </c>
      <c r="D7" s="202" t="s">
        <v>4</v>
      </c>
      <c r="E7" s="41"/>
      <c r="F7" s="21"/>
      <c r="G7" s="21"/>
      <c r="H7" s="21"/>
      <c r="I7" s="21"/>
      <c r="J7" s="21"/>
      <c r="K7" s="21"/>
      <c r="L7" s="21"/>
      <c r="M7" s="146"/>
      <c r="N7" s="21"/>
      <c r="O7" s="21"/>
      <c r="P7" s="21"/>
      <c r="Q7" s="21"/>
      <c r="R7" s="210"/>
      <c r="S7" s="210"/>
      <c r="T7" s="210"/>
      <c r="U7" s="210"/>
      <c r="V7" s="210"/>
      <c r="W7" s="210"/>
      <c r="X7" s="210"/>
      <c r="Y7" s="210"/>
      <c r="Z7" s="210"/>
      <c r="AA7" s="210"/>
      <c r="AB7" s="210"/>
      <c r="AC7" s="210"/>
      <c r="AD7" s="210"/>
      <c r="AE7" s="210"/>
      <c r="AF7" s="210"/>
      <c r="AG7" s="210"/>
      <c r="AH7" s="210"/>
      <c r="AI7" s="210"/>
      <c r="AJ7" s="210"/>
      <c r="AK7" s="210"/>
      <c r="AL7" s="210"/>
      <c r="AM7" s="210"/>
      <c r="AN7" s="210"/>
      <c r="AO7" s="210"/>
      <c r="AP7" s="210"/>
      <c r="AQ7" s="210"/>
      <c r="AR7" s="210"/>
      <c r="AS7" s="210"/>
      <c r="AT7" s="210"/>
      <c r="AU7" s="210"/>
      <c r="AV7" s="210"/>
      <c r="AW7" s="210"/>
      <c r="AX7" s="210"/>
      <c r="AY7" s="210"/>
      <c r="AZ7" s="210"/>
      <c r="BA7" s="210"/>
      <c r="BB7" s="210"/>
      <c r="BC7" s="210"/>
      <c r="BD7" s="210"/>
      <c r="BE7" s="210"/>
      <c r="BF7" s="210"/>
      <c r="BG7" s="210"/>
      <c r="BH7" s="210"/>
      <c r="BI7" s="210"/>
      <c r="BJ7" s="210"/>
      <c r="BK7" s="210"/>
      <c r="BL7" s="210"/>
      <c r="BM7" s="210"/>
      <c r="BN7" s="210"/>
      <c r="BO7" s="25"/>
      <c r="BP7" s="242">
        <f>COUNTIF(E7:H7,"X")</f>
        <v>0</v>
      </c>
      <c r="BQ7" s="78">
        <f>COUNTIF(E7:H7,"X/2")/2</f>
        <v>0</v>
      </c>
      <c r="BR7" s="273">
        <f t="shared" si="1"/>
        <v>0</v>
      </c>
      <c r="BS7" s="269">
        <v>370000</v>
      </c>
      <c r="BT7" s="52">
        <f t="shared" si="2"/>
        <v>0</v>
      </c>
      <c r="BU7" s="355"/>
    </row>
    <row r="8" spans="1:74" s="31" customFormat="1" x14ac:dyDescent="0.3">
      <c r="A8" s="61">
        <f t="shared" ref="A8:A71" si="3">A7+1</f>
        <v>4</v>
      </c>
      <c r="B8" s="28" t="s">
        <v>37</v>
      </c>
      <c r="C8" s="48" t="s">
        <v>60</v>
      </c>
      <c r="D8" s="202" t="s">
        <v>4</v>
      </c>
      <c r="E8" s="41"/>
      <c r="F8" s="21"/>
      <c r="G8" s="21"/>
      <c r="H8" s="21"/>
      <c r="I8" s="21"/>
      <c r="J8" s="21"/>
      <c r="K8" s="21"/>
      <c r="L8" s="21"/>
      <c r="M8" s="146"/>
      <c r="N8" s="21"/>
      <c r="O8" s="21"/>
      <c r="P8" s="21"/>
      <c r="Q8" s="21"/>
      <c r="R8" s="210"/>
      <c r="S8" s="210"/>
      <c r="T8" s="210"/>
      <c r="U8" s="210"/>
      <c r="V8" s="210"/>
      <c r="W8" s="210"/>
      <c r="X8" s="210"/>
      <c r="Y8" s="210"/>
      <c r="Z8" s="210"/>
      <c r="AA8" s="210"/>
      <c r="AB8" s="210"/>
      <c r="AC8" s="210"/>
      <c r="AD8" s="210"/>
      <c r="AE8" s="210"/>
      <c r="AF8" s="210"/>
      <c r="AG8" s="210"/>
      <c r="AH8" s="210"/>
      <c r="AI8" s="210"/>
      <c r="AJ8" s="210"/>
      <c r="AK8" s="210"/>
      <c r="AL8" s="210"/>
      <c r="AM8" s="210"/>
      <c r="AN8" s="210"/>
      <c r="AO8" s="210"/>
      <c r="AP8" s="210"/>
      <c r="AQ8" s="210"/>
      <c r="AR8" s="210"/>
      <c r="AS8" s="210"/>
      <c r="AT8" s="210"/>
      <c r="AU8" s="210"/>
      <c r="AV8" s="210"/>
      <c r="AW8" s="210"/>
      <c r="AX8" s="210"/>
      <c r="AY8" s="210"/>
      <c r="AZ8" s="210"/>
      <c r="BA8" s="210"/>
      <c r="BB8" s="210"/>
      <c r="BC8" s="210"/>
      <c r="BD8" s="210"/>
      <c r="BE8" s="210"/>
      <c r="BF8" s="210"/>
      <c r="BG8" s="210"/>
      <c r="BH8" s="210"/>
      <c r="BI8" s="210"/>
      <c r="BJ8" s="210"/>
      <c r="BK8" s="210"/>
      <c r="BL8" s="210"/>
      <c r="BM8" s="210"/>
      <c r="BN8" s="210"/>
      <c r="BO8" s="25"/>
      <c r="BP8" s="242">
        <f>COUNTIF(E8:H8,"X")</f>
        <v>0</v>
      </c>
      <c r="BQ8" s="78">
        <f>COUNTIF(E8:H8,"X/2")/2</f>
        <v>0</v>
      </c>
      <c r="BR8" s="273">
        <f t="shared" si="1"/>
        <v>0</v>
      </c>
      <c r="BS8" s="269">
        <v>370000</v>
      </c>
      <c r="BT8" s="52">
        <f t="shared" si="2"/>
        <v>0</v>
      </c>
      <c r="BU8" s="356"/>
    </row>
    <row r="9" spans="1:74" s="31" customFormat="1" x14ac:dyDescent="0.3">
      <c r="A9" s="61">
        <f t="shared" si="3"/>
        <v>5</v>
      </c>
      <c r="B9" s="28" t="s">
        <v>38</v>
      </c>
      <c r="C9" s="48" t="s">
        <v>80</v>
      </c>
      <c r="D9" s="202" t="s">
        <v>17</v>
      </c>
      <c r="E9" s="4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0"/>
      <c r="S9" s="210"/>
      <c r="T9" s="210"/>
      <c r="U9" s="210"/>
      <c r="V9" s="210"/>
      <c r="W9" s="210"/>
      <c r="X9" s="210"/>
      <c r="Y9" s="210"/>
      <c r="Z9" s="210"/>
      <c r="AA9" s="210"/>
      <c r="AB9" s="210"/>
      <c r="AC9" s="210"/>
      <c r="AD9" s="210"/>
      <c r="AE9" s="210"/>
      <c r="AF9" s="210"/>
      <c r="AG9" s="210"/>
      <c r="AH9" s="210"/>
      <c r="AI9" s="210"/>
      <c r="AJ9" s="210"/>
      <c r="AK9" s="210"/>
      <c r="AL9" s="210"/>
      <c r="AM9" s="210"/>
      <c r="AN9" s="210"/>
      <c r="AO9" s="210"/>
      <c r="AP9" s="210"/>
      <c r="AQ9" s="210"/>
      <c r="AR9" s="210"/>
      <c r="AS9" s="210"/>
      <c r="AT9" s="210"/>
      <c r="AU9" s="210"/>
      <c r="AV9" s="210"/>
      <c r="AW9" s="210"/>
      <c r="AX9" s="210"/>
      <c r="AY9" s="210"/>
      <c r="AZ9" s="210"/>
      <c r="BA9" s="210"/>
      <c r="BB9" s="210"/>
      <c r="BC9" s="210"/>
      <c r="BD9" s="210"/>
      <c r="BE9" s="210"/>
      <c r="BF9" s="210"/>
      <c r="BG9" s="210"/>
      <c r="BH9" s="210"/>
      <c r="BI9" s="210"/>
      <c r="BJ9" s="210"/>
      <c r="BK9" s="210"/>
      <c r="BL9" s="210"/>
      <c r="BM9" s="210"/>
      <c r="BN9" s="210"/>
      <c r="BO9" s="25"/>
      <c r="BP9" s="242">
        <f>COUNTIF(E9:BO9,"X")</f>
        <v>0</v>
      </c>
      <c r="BQ9" s="78">
        <f>COUNTIF(E9:BO9,"X/2")/2</f>
        <v>0</v>
      </c>
      <c r="BR9" s="273">
        <f t="shared" si="1"/>
        <v>0</v>
      </c>
      <c r="BS9" s="269">
        <v>350000</v>
      </c>
      <c r="BT9" s="52">
        <f t="shared" si="2"/>
        <v>0</v>
      </c>
      <c r="BU9" s="355"/>
    </row>
    <row r="10" spans="1:74" s="55" customFormat="1" x14ac:dyDescent="0.3">
      <c r="A10" s="294">
        <f t="shared" si="3"/>
        <v>6</v>
      </c>
      <c r="B10" s="158" t="s">
        <v>145</v>
      </c>
      <c r="C10" s="29" t="s">
        <v>60</v>
      </c>
      <c r="D10" s="203" t="s">
        <v>5</v>
      </c>
      <c r="E10" s="41"/>
      <c r="F10" s="21"/>
      <c r="G10" s="146"/>
      <c r="H10" s="146"/>
      <c r="I10" s="21"/>
      <c r="J10" s="21"/>
      <c r="K10" s="21"/>
      <c r="L10" s="21"/>
      <c r="M10" s="21"/>
      <c r="N10" s="21"/>
      <c r="O10" s="21"/>
      <c r="P10" s="21"/>
      <c r="Q10" s="21"/>
      <c r="R10" s="300"/>
      <c r="S10" s="30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5"/>
      <c r="BP10" s="242">
        <f>COUNTIF(E10:BO10,"X")</f>
        <v>0</v>
      </c>
      <c r="BQ10" s="78">
        <f>COUNTIF(E10:H10,"X/2")/2</f>
        <v>0</v>
      </c>
      <c r="BR10" s="273">
        <f t="shared" si="1"/>
        <v>0</v>
      </c>
      <c r="BS10" s="269">
        <v>350000</v>
      </c>
      <c r="BT10" s="52">
        <f t="shared" si="2"/>
        <v>0</v>
      </c>
      <c r="BU10" s="358"/>
    </row>
    <row r="11" spans="1:74" s="31" customFormat="1" x14ac:dyDescent="0.3">
      <c r="A11" s="61">
        <f t="shared" si="3"/>
        <v>7</v>
      </c>
      <c r="B11" s="28" t="s">
        <v>34</v>
      </c>
      <c r="C11" s="48" t="s">
        <v>80</v>
      </c>
      <c r="D11" s="202" t="s">
        <v>5</v>
      </c>
      <c r="E11" s="41"/>
      <c r="F11" s="21"/>
      <c r="G11" s="21"/>
      <c r="H11" s="21"/>
      <c r="I11" s="21"/>
      <c r="J11" s="21"/>
      <c r="K11" s="21"/>
      <c r="L11" s="21"/>
      <c r="M11" s="146"/>
      <c r="N11" s="21"/>
      <c r="O11" s="21"/>
      <c r="P11" s="21"/>
      <c r="Q11" s="21"/>
      <c r="R11" s="210"/>
      <c r="S11" s="210"/>
      <c r="T11" s="210"/>
      <c r="U11" s="210"/>
      <c r="V11" s="210"/>
      <c r="W11" s="210"/>
      <c r="X11" s="210"/>
      <c r="Y11" s="210"/>
      <c r="Z11" s="210"/>
      <c r="AA11" s="210"/>
      <c r="AB11" s="210"/>
      <c r="AC11" s="210"/>
      <c r="AD11" s="210"/>
      <c r="AE11" s="210"/>
      <c r="AF11" s="210"/>
      <c r="AG11" s="210"/>
      <c r="AH11" s="210"/>
      <c r="AI11" s="210"/>
      <c r="AJ11" s="210"/>
      <c r="AK11" s="210"/>
      <c r="AL11" s="210"/>
      <c r="AM11" s="210"/>
      <c r="AN11" s="210"/>
      <c r="AO11" s="210"/>
      <c r="AP11" s="210"/>
      <c r="AQ11" s="210"/>
      <c r="AR11" s="210"/>
      <c r="AS11" s="210"/>
      <c r="AT11" s="210"/>
      <c r="AU11" s="210"/>
      <c r="AV11" s="210"/>
      <c r="AW11" s="210"/>
      <c r="AX11" s="210"/>
      <c r="AY11" s="210"/>
      <c r="AZ11" s="210"/>
      <c r="BA11" s="210"/>
      <c r="BB11" s="210"/>
      <c r="BC11" s="210"/>
      <c r="BD11" s="210"/>
      <c r="BE11" s="210"/>
      <c r="BF11" s="210"/>
      <c r="BG11" s="210"/>
      <c r="BH11" s="210"/>
      <c r="BI11" s="210"/>
      <c r="BJ11" s="210"/>
      <c r="BK11" s="210"/>
      <c r="BL11" s="210"/>
      <c r="BM11" s="210"/>
      <c r="BN11" s="210"/>
      <c r="BO11" s="25"/>
      <c r="BP11" s="242">
        <f>COUNTIF(E11:H11,"X")</f>
        <v>0</v>
      </c>
      <c r="BQ11" s="78">
        <f>COUNTIF(E11:H11,"X/2")/2</f>
        <v>0</v>
      </c>
      <c r="BR11" s="273">
        <f t="shared" si="1"/>
        <v>0</v>
      </c>
      <c r="BS11" s="269">
        <v>300000</v>
      </c>
      <c r="BT11" s="52">
        <f t="shared" si="2"/>
        <v>0</v>
      </c>
      <c r="BU11" s="358"/>
    </row>
    <row r="12" spans="1:74" s="31" customFormat="1" x14ac:dyDescent="0.3">
      <c r="A12" s="61">
        <f t="shared" si="3"/>
        <v>8</v>
      </c>
      <c r="B12" s="28" t="s">
        <v>46</v>
      </c>
      <c r="C12" s="48" t="s">
        <v>60</v>
      </c>
      <c r="D12" s="202" t="s">
        <v>5</v>
      </c>
      <c r="E12" s="4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0"/>
      <c r="S12" s="210"/>
      <c r="T12" s="210"/>
      <c r="U12" s="210"/>
      <c r="V12" s="210"/>
      <c r="W12" s="210"/>
      <c r="X12" s="210"/>
      <c r="Y12" s="210"/>
      <c r="Z12" s="210"/>
      <c r="AA12" s="210"/>
      <c r="AB12" s="210"/>
      <c r="AC12" s="210"/>
      <c r="AD12" s="210"/>
      <c r="AE12" s="210"/>
      <c r="AF12" s="210"/>
      <c r="AG12" s="210"/>
      <c r="AH12" s="210"/>
      <c r="AI12" s="210"/>
      <c r="AJ12" s="210"/>
      <c r="AK12" s="210"/>
      <c r="AL12" s="210"/>
      <c r="AM12" s="210"/>
      <c r="AN12" s="210"/>
      <c r="AO12" s="210"/>
      <c r="AP12" s="210"/>
      <c r="AQ12" s="210"/>
      <c r="AR12" s="210"/>
      <c r="AS12" s="210"/>
      <c r="AT12" s="210"/>
      <c r="AU12" s="210"/>
      <c r="AV12" s="210"/>
      <c r="AW12" s="210"/>
      <c r="AX12" s="210"/>
      <c r="AY12" s="210"/>
      <c r="AZ12" s="210"/>
      <c r="BA12" s="210"/>
      <c r="BB12" s="210"/>
      <c r="BC12" s="210"/>
      <c r="BD12" s="210"/>
      <c r="BE12" s="210"/>
      <c r="BF12" s="210"/>
      <c r="BG12" s="210"/>
      <c r="BH12" s="210"/>
      <c r="BI12" s="210"/>
      <c r="BJ12" s="210"/>
      <c r="BK12" s="210"/>
      <c r="BL12" s="210"/>
      <c r="BM12" s="210"/>
      <c r="BN12" s="210"/>
      <c r="BO12" s="25"/>
      <c r="BP12" s="242">
        <f>COUNTIF(E12:BO12,"X")</f>
        <v>0</v>
      </c>
      <c r="BQ12" s="78">
        <f>COUNTIF(E12:H12,"X/2")/2</f>
        <v>0</v>
      </c>
      <c r="BR12" s="273">
        <f t="shared" si="1"/>
        <v>0</v>
      </c>
      <c r="BS12" s="269">
        <v>360000</v>
      </c>
      <c r="BT12" s="52">
        <f t="shared" si="2"/>
        <v>0</v>
      </c>
      <c r="BU12" s="355"/>
    </row>
    <row r="13" spans="1:74" s="31" customFormat="1" x14ac:dyDescent="0.3">
      <c r="A13" s="61">
        <f t="shared" si="3"/>
        <v>9</v>
      </c>
      <c r="B13" s="28" t="s">
        <v>42</v>
      </c>
      <c r="C13" s="48" t="s">
        <v>80</v>
      </c>
      <c r="D13" s="202" t="s">
        <v>4</v>
      </c>
      <c r="E13" s="41"/>
      <c r="F13" s="21"/>
      <c r="G13" s="21"/>
      <c r="H13" s="21"/>
      <c r="I13" s="21"/>
      <c r="J13" s="21"/>
      <c r="K13" s="21"/>
      <c r="L13" s="21"/>
      <c r="M13" s="146"/>
      <c r="N13" s="21"/>
      <c r="O13" s="21"/>
      <c r="P13" s="21"/>
      <c r="Q13" s="21"/>
      <c r="R13" s="210"/>
      <c r="S13" s="210"/>
      <c r="T13" s="210"/>
      <c r="U13" s="210"/>
      <c r="V13" s="210"/>
      <c r="W13" s="210"/>
      <c r="X13" s="210"/>
      <c r="Y13" s="210"/>
      <c r="Z13" s="210"/>
      <c r="AA13" s="210"/>
      <c r="AB13" s="210"/>
      <c r="AC13" s="210"/>
      <c r="AD13" s="210"/>
      <c r="AE13" s="210"/>
      <c r="AF13" s="210"/>
      <c r="AG13" s="210"/>
      <c r="AH13" s="210"/>
      <c r="AI13" s="210"/>
      <c r="AJ13" s="210"/>
      <c r="AK13" s="210"/>
      <c r="AL13" s="210"/>
      <c r="AM13" s="210"/>
      <c r="AN13" s="210"/>
      <c r="AO13" s="210"/>
      <c r="AP13" s="210"/>
      <c r="AQ13" s="210"/>
      <c r="AR13" s="210"/>
      <c r="AS13" s="210"/>
      <c r="AT13" s="210"/>
      <c r="AU13" s="210"/>
      <c r="AV13" s="210"/>
      <c r="AW13" s="210"/>
      <c r="AX13" s="210"/>
      <c r="AY13" s="210"/>
      <c r="AZ13" s="210"/>
      <c r="BA13" s="210"/>
      <c r="BB13" s="210"/>
      <c r="BC13" s="210"/>
      <c r="BD13" s="210"/>
      <c r="BE13" s="210"/>
      <c r="BF13" s="210"/>
      <c r="BG13" s="210"/>
      <c r="BH13" s="210"/>
      <c r="BI13" s="210"/>
      <c r="BJ13" s="210"/>
      <c r="BK13" s="210"/>
      <c r="BL13" s="210"/>
      <c r="BM13" s="210"/>
      <c r="BN13" s="210"/>
      <c r="BO13" s="25"/>
      <c r="BP13" s="242">
        <f>COUNTIF(E13:H13,"X")</f>
        <v>0</v>
      </c>
      <c r="BQ13" s="78">
        <f>COUNTIF(E13:H13,"X/2")/2</f>
        <v>0</v>
      </c>
      <c r="BR13" s="273">
        <f t="shared" si="1"/>
        <v>0</v>
      </c>
      <c r="BS13" s="269">
        <v>400000</v>
      </c>
      <c r="BT13" s="52">
        <f t="shared" si="2"/>
        <v>0</v>
      </c>
      <c r="BU13" s="355"/>
    </row>
    <row r="14" spans="1:74" s="31" customFormat="1" x14ac:dyDescent="0.3">
      <c r="A14" s="61">
        <v>10</v>
      </c>
      <c r="B14" s="28" t="s">
        <v>43</v>
      </c>
      <c r="C14" s="48" t="s">
        <v>80</v>
      </c>
      <c r="D14" s="202" t="s">
        <v>5</v>
      </c>
      <c r="E14" s="41"/>
      <c r="F14" s="21"/>
      <c r="G14" s="21"/>
      <c r="H14" s="21"/>
      <c r="I14" s="21"/>
      <c r="J14" s="21"/>
      <c r="K14" s="21"/>
      <c r="L14" s="21"/>
      <c r="M14" s="146"/>
      <c r="N14" s="21"/>
      <c r="O14" s="21"/>
      <c r="P14" s="21"/>
      <c r="Q14" s="21"/>
      <c r="R14" s="210"/>
      <c r="S14" s="210"/>
      <c r="T14" s="210"/>
      <c r="U14" s="210"/>
      <c r="V14" s="210"/>
      <c r="W14" s="210"/>
      <c r="X14" s="210"/>
      <c r="Y14" s="210"/>
      <c r="Z14" s="210"/>
      <c r="AA14" s="210"/>
      <c r="AB14" s="210"/>
      <c r="AC14" s="210"/>
      <c r="AD14" s="210"/>
      <c r="AE14" s="210"/>
      <c r="AF14" s="210"/>
      <c r="AG14" s="210"/>
      <c r="AH14" s="210"/>
      <c r="AI14" s="210"/>
      <c r="AJ14" s="210"/>
      <c r="AK14" s="210"/>
      <c r="AL14" s="210"/>
      <c r="AM14" s="210"/>
      <c r="AN14" s="210"/>
      <c r="AO14" s="210"/>
      <c r="AP14" s="210"/>
      <c r="AQ14" s="210"/>
      <c r="AR14" s="210"/>
      <c r="AS14" s="210"/>
      <c r="AT14" s="210"/>
      <c r="AU14" s="210"/>
      <c r="AV14" s="210"/>
      <c r="AW14" s="210"/>
      <c r="AX14" s="210"/>
      <c r="AY14" s="210"/>
      <c r="AZ14" s="210"/>
      <c r="BA14" s="210"/>
      <c r="BB14" s="210"/>
      <c r="BC14" s="210"/>
      <c r="BD14" s="210"/>
      <c r="BE14" s="210"/>
      <c r="BF14" s="210"/>
      <c r="BG14" s="210"/>
      <c r="BH14" s="210"/>
      <c r="BI14" s="210"/>
      <c r="BJ14" s="210"/>
      <c r="BK14" s="210"/>
      <c r="BL14" s="210"/>
      <c r="BM14" s="210"/>
      <c r="BN14" s="210"/>
      <c r="BO14" s="25"/>
      <c r="BP14" s="242">
        <f>COUNTIF(E14:H14,"X")</f>
        <v>0</v>
      </c>
      <c r="BQ14" s="78">
        <f>COUNTIF(E14:H14,"X/2")/2</f>
        <v>0</v>
      </c>
      <c r="BR14" s="273">
        <f t="shared" si="1"/>
        <v>0</v>
      </c>
      <c r="BS14" s="269">
        <v>280000</v>
      </c>
      <c r="BT14" s="52">
        <f t="shared" si="2"/>
        <v>0</v>
      </c>
      <c r="BU14" s="355"/>
    </row>
    <row r="15" spans="1:74" s="31" customFormat="1" x14ac:dyDescent="0.3">
      <c r="A15" s="61">
        <f t="shared" si="3"/>
        <v>11</v>
      </c>
      <c r="B15" s="28" t="s">
        <v>41</v>
      </c>
      <c r="C15" s="48" t="s">
        <v>80</v>
      </c>
      <c r="D15" s="202" t="s">
        <v>4</v>
      </c>
      <c r="E15" s="41"/>
      <c r="F15" s="210"/>
      <c r="G15" s="210"/>
      <c r="H15" s="21"/>
      <c r="I15" s="35"/>
      <c r="J15" s="21"/>
      <c r="K15" s="21"/>
      <c r="L15" s="21"/>
      <c r="M15" s="21"/>
      <c r="N15" s="21"/>
      <c r="O15" s="21"/>
      <c r="P15" s="21"/>
      <c r="Q15" s="21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0"/>
      <c r="AH15" s="210"/>
      <c r="AI15" s="210"/>
      <c r="AJ15" s="210"/>
      <c r="AK15" s="210"/>
      <c r="AL15" s="210"/>
      <c r="AM15" s="210"/>
      <c r="AN15" s="210"/>
      <c r="AO15" s="210"/>
      <c r="AP15" s="210"/>
      <c r="AQ15" s="210"/>
      <c r="AR15" s="210"/>
      <c r="AS15" s="210"/>
      <c r="AT15" s="210"/>
      <c r="AU15" s="210"/>
      <c r="AV15" s="210"/>
      <c r="AW15" s="210"/>
      <c r="AX15" s="210"/>
      <c r="AY15" s="210"/>
      <c r="AZ15" s="210"/>
      <c r="BA15" s="210"/>
      <c r="BB15" s="210"/>
      <c r="BC15" s="210"/>
      <c r="BD15" s="210"/>
      <c r="BE15" s="210"/>
      <c r="BF15" s="210"/>
      <c r="BG15" s="210"/>
      <c r="BH15" s="210"/>
      <c r="BI15" s="210"/>
      <c r="BJ15" s="210"/>
      <c r="BK15" s="210"/>
      <c r="BL15" s="210"/>
      <c r="BM15" s="210"/>
      <c r="BN15" s="210"/>
      <c r="BO15" s="25"/>
      <c r="BP15" s="242">
        <f>COUNTIF(E15:BO15,"X")</f>
        <v>0</v>
      </c>
      <c r="BQ15" s="78">
        <f>COUNTIF(E15:H15,"X/2")/2</f>
        <v>0</v>
      </c>
      <c r="BR15" s="273">
        <f t="shared" si="1"/>
        <v>0</v>
      </c>
      <c r="BS15" s="269">
        <v>400000</v>
      </c>
      <c r="BT15" s="52">
        <f t="shared" si="2"/>
        <v>0</v>
      </c>
      <c r="BU15" s="355"/>
    </row>
    <row r="16" spans="1:74" s="31" customFormat="1" x14ac:dyDescent="0.3">
      <c r="A16" s="61">
        <f t="shared" si="3"/>
        <v>12</v>
      </c>
      <c r="B16" s="28" t="s">
        <v>47</v>
      </c>
      <c r="C16" s="48"/>
      <c r="D16" s="202" t="s">
        <v>4</v>
      </c>
      <c r="E16" s="41"/>
      <c r="F16" s="21"/>
      <c r="G16" s="21"/>
      <c r="H16" s="21"/>
      <c r="I16" s="21"/>
      <c r="J16" s="21"/>
      <c r="K16" s="21"/>
      <c r="L16" s="21"/>
      <c r="M16" s="146"/>
      <c r="N16" s="21"/>
      <c r="O16" s="21"/>
      <c r="P16" s="21"/>
      <c r="Q16" s="21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0"/>
      <c r="AH16" s="210"/>
      <c r="AI16" s="210"/>
      <c r="AJ16" s="210"/>
      <c r="AK16" s="210"/>
      <c r="AL16" s="210"/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0"/>
      <c r="AY16" s="210"/>
      <c r="AZ16" s="210"/>
      <c r="BA16" s="210"/>
      <c r="BB16" s="210"/>
      <c r="BC16" s="210"/>
      <c r="BD16" s="210"/>
      <c r="BE16" s="210"/>
      <c r="BF16" s="210"/>
      <c r="BG16" s="210"/>
      <c r="BH16" s="210"/>
      <c r="BI16" s="210"/>
      <c r="BJ16" s="210"/>
      <c r="BK16" s="210"/>
      <c r="BL16" s="210"/>
      <c r="BM16" s="210"/>
      <c r="BN16" s="210"/>
      <c r="BO16" s="25"/>
      <c r="BP16" s="242">
        <f>COUNTIF(E16:H16,"X")</f>
        <v>0</v>
      </c>
      <c r="BQ16" s="78">
        <f>COUNTIF(E16:H16,"X/2")/2</f>
        <v>0</v>
      </c>
      <c r="BR16" s="273">
        <f t="shared" si="1"/>
        <v>0</v>
      </c>
      <c r="BS16" s="269">
        <v>390000</v>
      </c>
      <c r="BT16" s="52">
        <f t="shared" si="2"/>
        <v>0</v>
      </c>
      <c r="BU16" s="355"/>
    </row>
    <row r="17" spans="1:73" s="31" customFormat="1" x14ac:dyDescent="0.3">
      <c r="A17" s="61">
        <f t="shared" si="3"/>
        <v>13</v>
      </c>
      <c r="B17" s="28" t="s">
        <v>61</v>
      </c>
      <c r="C17" s="48" t="s">
        <v>60</v>
      </c>
      <c r="D17" s="203" t="s">
        <v>4</v>
      </c>
      <c r="E17" s="41"/>
      <c r="F17" s="21"/>
      <c r="G17" s="21"/>
      <c r="H17" s="21"/>
      <c r="I17" s="21"/>
      <c r="J17" s="21"/>
      <c r="K17" s="21"/>
      <c r="L17" s="21"/>
      <c r="M17" s="146"/>
      <c r="N17" s="21"/>
      <c r="O17" s="21"/>
      <c r="P17" s="21"/>
      <c r="Q17" s="21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0"/>
      <c r="AH17" s="210"/>
      <c r="AI17" s="210"/>
      <c r="AJ17" s="210"/>
      <c r="AK17" s="210"/>
      <c r="AL17" s="210"/>
      <c r="AM17" s="210"/>
      <c r="AN17" s="210"/>
      <c r="AO17" s="210"/>
      <c r="AP17" s="210"/>
      <c r="AQ17" s="210"/>
      <c r="AR17" s="210"/>
      <c r="AS17" s="210"/>
      <c r="AT17" s="210"/>
      <c r="AU17" s="210"/>
      <c r="AV17" s="210"/>
      <c r="AW17" s="210"/>
      <c r="AX17" s="210"/>
      <c r="AY17" s="210"/>
      <c r="AZ17" s="210"/>
      <c r="BA17" s="210"/>
      <c r="BB17" s="210"/>
      <c r="BC17" s="210"/>
      <c r="BD17" s="210"/>
      <c r="BE17" s="210"/>
      <c r="BF17" s="210"/>
      <c r="BG17" s="210"/>
      <c r="BH17" s="210"/>
      <c r="BI17" s="210"/>
      <c r="BJ17" s="210"/>
      <c r="BK17" s="210"/>
      <c r="BL17" s="210"/>
      <c r="BM17" s="210"/>
      <c r="BN17" s="210"/>
      <c r="BO17" s="25"/>
      <c r="BP17" s="242">
        <f>COUNTIF(E17:H17,"X")</f>
        <v>0</v>
      </c>
      <c r="BQ17" s="78">
        <f>COUNTIF(E17:H17,"X/2")/2</f>
        <v>0</v>
      </c>
      <c r="BR17" s="273">
        <f t="shared" si="1"/>
        <v>0</v>
      </c>
      <c r="BS17" s="270">
        <v>370000</v>
      </c>
      <c r="BT17" s="52">
        <f t="shared" si="2"/>
        <v>0</v>
      </c>
      <c r="BU17" s="355"/>
    </row>
    <row r="18" spans="1:73" s="31" customFormat="1" x14ac:dyDescent="0.3">
      <c r="A18" s="61">
        <f t="shared" si="3"/>
        <v>14</v>
      </c>
      <c r="B18" s="28" t="s">
        <v>62</v>
      </c>
      <c r="C18" s="48"/>
      <c r="D18" s="203" t="s">
        <v>4</v>
      </c>
      <c r="E18" s="41"/>
      <c r="F18" s="21"/>
      <c r="G18" s="21"/>
      <c r="H18" s="21"/>
      <c r="I18" s="21"/>
      <c r="J18" s="21"/>
      <c r="K18" s="21"/>
      <c r="L18" s="21"/>
      <c r="M18" s="146"/>
      <c r="N18" s="21"/>
      <c r="O18" s="21"/>
      <c r="P18" s="21"/>
      <c r="Q18" s="21"/>
      <c r="R18" s="210"/>
      <c r="S18" s="210"/>
      <c r="T18" s="210"/>
      <c r="U18" s="210"/>
      <c r="V18" s="210"/>
      <c r="W18" s="210"/>
      <c r="X18" s="210"/>
      <c r="Y18" s="210"/>
      <c r="Z18" s="210"/>
      <c r="AA18" s="210"/>
      <c r="AB18" s="210"/>
      <c r="AC18" s="210"/>
      <c r="AD18" s="210"/>
      <c r="AE18" s="210"/>
      <c r="AF18" s="210"/>
      <c r="AG18" s="210"/>
      <c r="AH18" s="210"/>
      <c r="AI18" s="210"/>
      <c r="AJ18" s="210"/>
      <c r="AK18" s="210"/>
      <c r="AL18" s="210"/>
      <c r="AM18" s="210"/>
      <c r="AN18" s="210"/>
      <c r="AO18" s="210"/>
      <c r="AP18" s="210"/>
      <c r="AQ18" s="210"/>
      <c r="AR18" s="210"/>
      <c r="AS18" s="210"/>
      <c r="AT18" s="210"/>
      <c r="AU18" s="210"/>
      <c r="AV18" s="210"/>
      <c r="AW18" s="210"/>
      <c r="AX18" s="210"/>
      <c r="AY18" s="210"/>
      <c r="AZ18" s="210"/>
      <c r="BA18" s="210"/>
      <c r="BB18" s="210"/>
      <c r="BC18" s="210"/>
      <c r="BD18" s="210"/>
      <c r="BE18" s="210"/>
      <c r="BF18" s="210"/>
      <c r="BG18" s="210"/>
      <c r="BH18" s="210"/>
      <c r="BI18" s="210"/>
      <c r="BJ18" s="210"/>
      <c r="BK18" s="210"/>
      <c r="BL18" s="210"/>
      <c r="BM18" s="210"/>
      <c r="BN18" s="210"/>
      <c r="BO18" s="25"/>
      <c r="BP18" s="242">
        <f>COUNTIF(E18:H18,"X")</f>
        <v>0</v>
      </c>
      <c r="BQ18" s="78">
        <f>COUNTIF(E18:H18,"X/2")/2</f>
        <v>0</v>
      </c>
      <c r="BR18" s="273">
        <f t="shared" si="1"/>
        <v>0</v>
      </c>
      <c r="BS18" s="270">
        <v>360000</v>
      </c>
      <c r="BT18" s="52">
        <f t="shared" si="2"/>
        <v>0</v>
      </c>
      <c r="BU18" s="355"/>
    </row>
    <row r="19" spans="1:73" s="31" customFormat="1" x14ac:dyDescent="0.3">
      <c r="A19" s="61">
        <f t="shared" si="3"/>
        <v>15</v>
      </c>
      <c r="B19" s="28" t="s">
        <v>63</v>
      </c>
      <c r="C19" s="48" t="s">
        <v>60</v>
      </c>
      <c r="D19" s="203" t="s">
        <v>4</v>
      </c>
      <c r="E19" s="41"/>
      <c r="F19" s="21"/>
      <c r="G19" s="21"/>
      <c r="H19" s="21"/>
      <c r="I19" s="21"/>
      <c r="J19" s="21"/>
      <c r="K19" s="21"/>
      <c r="L19" s="21"/>
      <c r="M19" s="146"/>
      <c r="N19" s="21"/>
      <c r="O19" s="21"/>
      <c r="P19" s="21"/>
      <c r="Q19" s="21"/>
      <c r="R19" s="210"/>
      <c r="S19" s="210"/>
      <c r="T19" s="210"/>
      <c r="U19" s="210"/>
      <c r="V19" s="210"/>
      <c r="W19" s="210"/>
      <c r="X19" s="210"/>
      <c r="Y19" s="210"/>
      <c r="Z19" s="210"/>
      <c r="AA19" s="210"/>
      <c r="AB19" s="210"/>
      <c r="AC19" s="210"/>
      <c r="AD19" s="210"/>
      <c r="AE19" s="210"/>
      <c r="AF19" s="210"/>
      <c r="AG19" s="210"/>
      <c r="AH19" s="210"/>
      <c r="AI19" s="210"/>
      <c r="AJ19" s="210"/>
      <c r="AK19" s="210"/>
      <c r="AL19" s="210"/>
      <c r="AM19" s="210"/>
      <c r="AN19" s="210"/>
      <c r="AO19" s="210"/>
      <c r="AP19" s="210"/>
      <c r="AQ19" s="210"/>
      <c r="AR19" s="210"/>
      <c r="AS19" s="210"/>
      <c r="AT19" s="210"/>
      <c r="AU19" s="210"/>
      <c r="AV19" s="210"/>
      <c r="AW19" s="210"/>
      <c r="AX19" s="210"/>
      <c r="AY19" s="210"/>
      <c r="AZ19" s="210"/>
      <c r="BA19" s="210"/>
      <c r="BB19" s="210"/>
      <c r="BC19" s="210"/>
      <c r="BD19" s="210"/>
      <c r="BE19" s="210"/>
      <c r="BF19" s="210"/>
      <c r="BG19" s="210"/>
      <c r="BH19" s="210"/>
      <c r="BI19" s="210"/>
      <c r="BJ19" s="210"/>
      <c r="BK19" s="210"/>
      <c r="BL19" s="210"/>
      <c r="BM19" s="210"/>
      <c r="BN19" s="210"/>
      <c r="BO19" s="25"/>
      <c r="BP19" s="242">
        <f>COUNTIF(E19:H19,"X")</f>
        <v>0</v>
      </c>
      <c r="BQ19" s="78">
        <f>COUNTIF(E19:H19,"X/2")/2</f>
        <v>0</v>
      </c>
      <c r="BR19" s="273">
        <f t="shared" si="1"/>
        <v>0</v>
      </c>
      <c r="BS19" s="270">
        <v>380000</v>
      </c>
      <c r="BT19" s="52">
        <f t="shared" si="2"/>
        <v>0</v>
      </c>
      <c r="BU19" s="355"/>
    </row>
    <row r="20" spans="1:73" s="31" customFormat="1" x14ac:dyDescent="0.3">
      <c r="A20" s="61">
        <f t="shared" si="3"/>
        <v>16</v>
      </c>
      <c r="B20" s="28" t="s">
        <v>59</v>
      </c>
      <c r="C20" s="48" t="s">
        <v>60</v>
      </c>
      <c r="D20" s="203" t="s">
        <v>5</v>
      </c>
      <c r="E20" s="41"/>
      <c r="F20" s="21"/>
      <c r="G20" s="21"/>
      <c r="H20" s="21"/>
      <c r="I20" s="21"/>
      <c r="J20" s="21"/>
      <c r="K20" s="21"/>
      <c r="L20" s="21"/>
      <c r="M20" s="146"/>
      <c r="N20" s="21"/>
      <c r="O20" s="21"/>
      <c r="P20" s="21"/>
      <c r="Q20" s="21"/>
      <c r="R20" s="210"/>
      <c r="S20" s="210"/>
      <c r="T20" s="210"/>
      <c r="U20" s="210"/>
      <c r="V20" s="210"/>
      <c r="W20" s="210"/>
      <c r="X20" s="210"/>
      <c r="Y20" s="210"/>
      <c r="Z20" s="210"/>
      <c r="AA20" s="210"/>
      <c r="AB20" s="210"/>
      <c r="AC20" s="210"/>
      <c r="AD20" s="210"/>
      <c r="AE20" s="210"/>
      <c r="AF20" s="210"/>
      <c r="AG20" s="210"/>
      <c r="AH20" s="210"/>
      <c r="AI20" s="210"/>
      <c r="AJ20" s="210"/>
      <c r="AK20" s="210"/>
      <c r="AL20" s="210"/>
      <c r="AM20" s="210"/>
      <c r="AN20" s="210"/>
      <c r="AO20" s="210"/>
      <c r="AP20" s="210"/>
      <c r="AQ20" s="210"/>
      <c r="AR20" s="210"/>
      <c r="AS20" s="210"/>
      <c r="AT20" s="210"/>
      <c r="AU20" s="210"/>
      <c r="AV20" s="210"/>
      <c r="AW20" s="210"/>
      <c r="AX20" s="210"/>
      <c r="AY20" s="210"/>
      <c r="AZ20" s="210"/>
      <c r="BA20" s="210"/>
      <c r="BB20" s="210"/>
      <c r="BC20" s="210"/>
      <c r="BD20" s="210"/>
      <c r="BE20" s="210"/>
      <c r="BF20" s="210"/>
      <c r="BG20" s="210"/>
      <c r="BH20" s="210"/>
      <c r="BI20" s="210"/>
      <c r="BJ20" s="210"/>
      <c r="BK20" s="210"/>
      <c r="BL20" s="210"/>
      <c r="BM20" s="210"/>
      <c r="BN20" s="210"/>
      <c r="BO20" s="25"/>
      <c r="BP20" s="242">
        <f>COUNTIF(E20:H20,"X")</f>
        <v>0</v>
      </c>
      <c r="BQ20" s="78">
        <f>COUNTIF(E20:H20,"X/2")/2</f>
        <v>0</v>
      </c>
      <c r="BR20" s="273">
        <f t="shared" si="1"/>
        <v>0</v>
      </c>
      <c r="BS20" s="270">
        <v>270000</v>
      </c>
      <c r="BT20" s="52">
        <f t="shared" si="2"/>
        <v>0</v>
      </c>
      <c r="BU20" s="355"/>
    </row>
    <row r="21" spans="1:73" s="31" customFormat="1" x14ac:dyDescent="0.3">
      <c r="A21" s="61">
        <f t="shared" si="3"/>
        <v>17</v>
      </c>
      <c r="B21" s="28" t="s">
        <v>64</v>
      </c>
      <c r="C21" s="48" t="s">
        <v>60</v>
      </c>
      <c r="D21" s="203" t="s">
        <v>4</v>
      </c>
      <c r="E21" s="41"/>
      <c r="F21" s="21"/>
      <c r="G21" s="21"/>
      <c r="H21" s="21"/>
      <c r="I21" s="21"/>
      <c r="J21" s="21"/>
      <c r="K21" s="21"/>
      <c r="L21" s="21"/>
      <c r="M21" s="146"/>
      <c r="N21" s="21"/>
      <c r="O21" s="21"/>
      <c r="P21" s="21"/>
      <c r="Q21" s="21"/>
      <c r="R21" s="210"/>
      <c r="S21" s="210"/>
      <c r="T21" s="210"/>
      <c r="U21" s="210"/>
      <c r="V21" s="210"/>
      <c r="W21" s="210"/>
      <c r="X21" s="210"/>
      <c r="Y21" s="210"/>
      <c r="Z21" s="210"/>
      <c r="AA21" s="210"/>
      <c r="AB21" s="210"/>
      <c r="AC21" s="210"/>
      <c r="AD21" s="210"/>
      <c r="AE21" s="210"/>
      <c r="AF21" s="210"/>
      <c r="AG21" s="210"/>
      <c r="AH21" s="210"/>
      <c r="AI21" s="210"/>
      <c r="AJ21" s="210"/>
      <c r="AK21" s="210"/>
      <c r="AL21" s="210"/>
      <c r="AM21" s="210"/>
      <c r="AN21" s="210"/>
      <c r="AO21" s="210"/>
      <c r="AP21" s="210"/>
      <c r="AQ21" s="210"/>
      <c r="AR21" s="210"/>
      <c r="AS21" s="210"/>
      <c r="AT21" s="210"/>
      <c r="AU21" s="210"/>
      <c r="AV21" s="210"/>
      <c r="AW21" s="210"/>
      <c r="AX21" s="210"/>
      <c r="AY21" s="210"/>
      <c r="AZ21" s="210"/>
      <c r="BA21" s="210"/>
      <c r="BB21" s="210"/>
      <c r="BC21" s="210"/>
      <c r="BD21" s="210"/>
      <c r="BE21" s="210"/>
      <c r="BF21" s="210"/>
      <c r="BG21" s="210"/>
      <c r="BH21" s="210"/>
      <c r="BI21" s="210"/>
      <c r="BJ21" s="210"/>
      <c r="BK21" s="210"/>
      <c r="BL21" s="210"/>
      <c r="BM21" s="210"/>
      <c r="BN21" s="210"/>
      <c r="BO21" s="25"/>
      <c r="BP21" s="242">
        <f>COUNTIF(E21:H21,"X")</f>
        <v>0</v>
      </c>
      <c r="BQ21" s="78">
        <f>COUNTIF(E21:H21,"X/2")/2</f>
        <v>0</v>
      </c>
      <c r="BR21" s="273">
        <f t="shared" si="1"/>
        <v>0</v>
      </c>
      <c r="BS21" s="270">
        <v>380000</v>
      </c>
      <c r="BT21" s="52">
        <f t="shared" si="2"/>
        <v>0</v>
      </c>
      <c r="BU21" s="355"/>
    </row>
    <row r="22" spans="1:73" s="55" customFormat="1" x14ac:dyDescent="0.3">
      <c r="A22" s="61">
        <f t="shared" si="3"/>
        <v>18</v>
      </c>
      <c r="B22" s="158" t="s">
        <v>65</v>
      </c>
      <c r="C22" s="29" t="s">
        <v>60</v>
      </c>
      <c r="D22" s="203" t="s">
        <v>4</v>
      </c>
      <c r="E22" s="41"/>
      <c r="F22" s="21"/>
      <c r="G22" s="21"/>
      <c r="H22" s="21"/>
      <c r="I22" s="21"/>
      <c r="J22" s="21"/>
      <c r="K22" s="21"/>
      <c r="L22" s="21"/>
      <c r="M22" s="146"/>
      <c r="N22" s="21"/>
      <c r="O22" s="21"/>
      <c r="P22" s="21"/>
      <c r="Q22" s="21"/>
      <c r="R22" s="210"/>
      <c r="S22" s="210"/>
      <c r="T22" s="210"/>
      <c r="U22" s="210"/>
      <c r="V22" s="210"/>
      <c r="W22" s="210"/>
      <c r="X22" s="210"/>
      <c r="Y22" s="210"/>
      <c r="Z22" s="210"/>
      <c r="AA22" s="210"/>
      <c r="AB22" s="210"/>
      <c r="AC22" s="210"/>
      <c r="AD22" s="210"/>
      <c r="AE22" s="210"/>
      <c r="AF22" s="210"/>
      <c r="AG22" s="210"/>
      <c r="AH22" s="210"/>
      <c r="AI22" s="210"/>
      <c r="AJ22" s="210"/>
      <c r="AK22" s="210"/>
      <c r="AL22" s="210"/>
      <c r="AM22" s="210"/>
      <c r="AN22" s="210"/>
      <c r="AO22" s="210"/>
      <c r="AP22" s="210"/>
      <c r="AQ22" s="210"/>
      <c r="AR22" s="210"/>
      <c r="AS22" s="210"/>
      <c r="AT22" s="210"/>
      <c r="AU22" s="210"/>
      <c r="AV22" s="210"/>
      <c r="AW22" s="210"/>
      <c r="AX22" s="210"/>
      <c r="AY22" s="210"/>
      <c r="AZ22" s="210"/>
      <c r="BA22" s="210"/>
      <c r="BB22" s="210"/>
      <c r="BC22" s="210"/>
      <c r="BD22" s="210"/>
      <c r="BE22" s="210"/>
      <c r="BF22" s="210"/>
      <c r="BG22" s="210"/>
      <c r="BH22" s="210"/>
      <c r="BI22" s="210"/>
      <c r="BJ22" s="210"/>
      <c r="BK22" s="210"/>
      <c r="BL22" s="210"/>
      <c r="BM22" s="210"/>
      <c r="BN22" s="210"/>
      <c r="BO22" s="25"/>
      <c r="BP22" s="242">
        <f>COUNTIF(E22:H22,"X")</f>
        <v>0</v>
      </c>
      <c r="BQ22" s="78">
        <f>COUNTIF(E22:H22,"X/2")/2</f>
        <v>0</v>
      </c>
      <c r="BR22" s="273">
        <f t="shared" si="1"/>
        <v>0</v>
      </c>
      <c r="BS22" s="270">
        <v>370000</v>
      </c>
      <c r="BT22" s="52">
        <f t="shared" si="2"/>
        <v>0</v>
      </c>
      <c r="BU22" s="358"/>
    </row>
    <row r="23" spans="1:73" s="31" customFormat="1" x14ac:dyDescent="0.3">
      <c r="A23" s="61">
        <f t="shared" si="3"/>
        <v>19</v>
      </c>
      <c r="B23" s="48" t="s">
        <v>126</v>
      </c>
      <c r="C23" s="48"/>
      <c r="D23" s="204" t="s">
        <v>5</v>
      </c>
      <c r="E23" s="4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10"/>
      <c r="BB23" s="210"/>
      <c r="BC23" s="210"/>
      <c r="BD23" s="210"/>
      <c r="BE23" s="210"/>
      <c r="BF23" s="210"/>
      <c r="BG23" s="210"/>
      <c r="BH23" s="210"/>
      <c r="BI23" s="210"/>
      <c r="BJ23" s="210"/>
      <c r="BK23" s="210"/>
      <c r="BL23" s="210"/>
      <c r="BM23" s="210"/>
      <c r="BN23" s="210"/>
      <c r="BO23" s="25"/>
      <c r="BP23" s="242">
        <f>COUNTIF(E23:BO23,"X")</f>
        <v>0</v>
      </c>
      <c r="BQ23" s="78">
        <f>COUNTIF(E23:H23,"X/2")/2</f>
        <v>0</v>
      </c>
      <c r="BR23" s="273">
        <f t="shared" si="1"/>
        <v>0</v>
      </c>
      <c r="BS23" s="269">
        <v>280000</v>
      </c>
      <c r="BT23" s="52">
        <f t="shared" si="2"/>
        <v>0</v>
      </c>
      <c r="BU23" s="355"/>
    </row>
    <row r="24" spans="1:73" s="31" customFormat="1" x14ac:dyDescent="0.3">
      <c r="A24" s="61">
        <f t="shared" si="3"/>
        <v>20</v>
      </c>
      <c r="B24" s="116" t="s">
        <v>143</v>
      </c>
      <c r="C24" s="116"/>
      <c r="D24" s="205" t="s">
        <v>4</v>
      </c>
      <c r="E24" s="4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0"/>
      <c r="S24" s="210"/>
      <c r="T24" s="210"/>
      <c r="U24" s="210"/>
      <c r="V24" s="210"/>
      <c r="W24" s="210"/>
      <c r="X24" s="210"/>
      <c r="Y24" s="210"/>
      <c r="Z24" s="210"/>
      <c r="AA24" s="210"/>
      <c r="AB24" s="210"/>
      <c r="AC24" s="210"/>
      <c r="AD24" s="210"/>
      <c r="AE24" s="210"/>
      <c r="AF24" s="210"/>
      <c r="AG24" s="210"/>
      <c r="AH24" s="210"/>
      <c r="AI24" s="210"/>
      <c r="AJ24" s="210"/>
      <c r="AK24" s="210"/>
      <c r="AL24" s="210"/>
      <c r="AM24" s="210"/>
      <c r="AN24" s="210"/>
      <c r="AO24" s="210"/>
      <c r="AP24" s="210"/>
      <c r="AQ24" s="210"/>
      <c r="AR24" s="210"/>
      <c r="AS24" s="210"/>
      <c r="AT24" s="210"/>
      <c r="AU24" s="210"/>
      <c r="AV24" s="210"/>
      <c r="AW24" s="210"/>
      <c r="AX24" s="210"/>
      <c r="AY24" s="210"/>
      <c r="AZ24" s="210"/>
      <c r="BA24" s="210"/>
      <c r="BB24" s="210"/>
      <c r="BC24" s="210"/>
      <c r="BD24" s="210"/>
      <c r="BE24" s="210"/>
      <c r="BF24" s="210"/>
      <c r="BG24" s="210"/>
      <c r="BH24" s="210"/>
      <c r="BI24" s="210"/>
      <c r="BJ24" s="210"/>
      <c r="BK24" s="210"/>
      <c r="BL24" s="210"/>
      <c r="BM24" s="210"/>
      <c r="BN24" s="210"/>
      <c r="BO24" s="25"/>
      <c r="BP24" s="242">
        <f>COUNTIF(E24:BO24,"X")</f>
        <v>0</v>
      </c>
      <c r="BQ24" s="78">
        <f>COUNTIF(E24:H24,"X/2")/2</f>
        <v>0</v>
      </c>
      <c r="BR24" s="273">
        <f t="shared" si="1"/>
        <v>0</v>
      </c>
      <c r="BS24" s="270">
        <v>380000</v>
      </c>
      <c r="BT24" s="52">
        <f t="shared" si="2"/>
        <v>0</v>
      </c>
      <c r="BU24" s="359"/>
    </row>
    <row r="25" spans="1:73" s="31" customFormat="1" x14ac:dyDescent="0.3">
      <c r="A25" s="61">
        <f t="shared" si="3"/>
        <v>21</v>
      </c>
      <c r="B25" s="116" t="s">
        <v>144</v>
      </c>
      <c r="C25" s="116"/>
      <c r="D25" s="205" t="s">
        <v>4</v>
      </c>
      <c r="E25" s="41"/>
      <c r="F25" s="21"/>
      <c r="G25" s="21"/>
      <c r="H25" s="21"/>
      <c r="I25" s="21"/>
      <c r="J25" s="21"/>
      <c r="K25" s="21"/>
      <c r="L25" s="21"/>
      <c r="M25" s="146"/>
      <c r="N25" s="21"/>
      <c r="O25" s="21"/>
      <c r="P25" s="21"/>
      <c r="Q25" s="21"/>
      <c r="R25" s="210"/>
      <c r="S25" s="210"/>
      <c r="T25" s="210"/>
      <c r="U25" s="210"/>
      <c r="V25" s="210"/>
      <c r="W25" s="210"/>
      <c r="X25" s="210"/>
      <c r="Y25" s="210"/>
      <c r="Z25" s="210"/>
      <c r="AA25" s="210"/>
      <c r="AB25" s="210"/>
      <c r="AC25" s="210"/>
      <c r="AD25" s="210"/>
      <c r="AE25" s="210"/>
      <c r="AF25" s="210"/>
      <c r="AG25" s="210"/>
      <c r="AH25" s="210"/>
      <c r="AI25" s="210"/>
      <c r="AJ25" s="210"/>
      <c r="AK25" s="210"/>
      <c r="AL25" s="210"/>
      <c r="AM25" s="210"/>
      <c r="AN25" s="210"/>
      <c r="AO25" s="210"/>
      <c r="AP25" s="210"/>
      <c r="AQ25" s="210"/>
      <c r="AR25" s="210"/>
      <c r="AS25" s="210"/>
      <c r="AT25" s="210"/>
      <c r="AU25" s="210"/>
      <c r="AV25" s="210"/>
      <c r="AW25" s="210"/>
      <c r="AX25" s="210"/>
      <c r="AY25" s="210"/>
      <c r="AZ25" s="210"/>
      <c r="BA25" s="210"/>
      <c r="BB25" s="210"/>
      <c r="BC25" s="210"/>
      <c r="BD25" s="210"/>
      <c r="BE25" s="210"/>
      <c r="BF25" s="210"/>
      <c r="BG25" s="210"/>
      <c r="BH25" s="210"/>
      <c r="BI25" s="210"/>
      <c r="BJ25" s="210"/>
      <c r="BK25" s="210"/>
      <c r="BL25" s="210"/>
      <c r="BM25" s="210"/>
      <c r="BN25" s="210"/>
      <c r="BO25" s="25"/>
      <c r="BP25" s="242">
        <f>COUNTIF(E25:H25,"X")</f>
        <v>0</v>
      </c>
      <c r="BQ25" s="78">
        <f>COUNTIF(E25:H25,"X/2")/2</f>
        <v>0</v>
      </c>
      <c r="BR25" s="273">
        <f t="shared" si="1"/>
        <v>0</v>
      </c>
      <c r="BS25" s="270">
        <v>280000</v>
      </c>
      <c r="BT25" s="52">
        <f t="shared" si="2"/>
        <v>0</v>
      </c>
      <c r="BU25" s="359"/>
    </row>
    <row r="26" spans="1:73" s="31" customFormat="1" x14ac:dyDescent="0.3">
      <c r="A26" s="61">
        <f t="shared" si="3"/>
        <v>22</v>
      </c>
      <c r="B26" s="116" t="s">
        <v>164</v>
      </c>
      <c r="C26" s="116"/>
      <c r="D26" s="205" t="s">
        <v>5</v>
      </c>
      <c r="E26" s="127"/>
      <c r="F26" s="21"/>
      <c r="G26" s="21"/>
      <c r="H26" s="21"/>
      <c r="I26" s="21"/>
      <c r="J26" s="21"/>
      <c r="K26" s="21"/>
      <c r="L26" s="21"/>
      <c r="M26" s="146"/>
      <c r="N26" s="21"/>
      <c r="O26" s="21"/>
      <c r="P26" s="21"/>
      <c r="Q26" s="21"/>
      <c r="R26" s="210"/>
      <c r="S26" s="210"/>
      <c r="T26" s="210"/>
      <c r="U26" s="210"/>
      <c r="V26" s="210"/>
      <c r="W26" s="210"/>
      <c r="X26" s="210"/>
      <c r="Y26" s="210"/>
      <c r="Z26" s="210"/>
      <c r="AA26" s="210"/>
      <c r="AB26" s="210"/>
      <c r="AC26" s="210"/>
      <c r="AD26" s="210"/>
      <c r="AE26" s="210"/>
      <c r="AF26" s="210"/>
      <c r="AG26" s="210"/>
      <c r="AH26" s="210"/>
      <c r="AI26" s="210"/>
      <c r="AJ26" s="210"/>
      <c r="AK26" s="210"/>
      <c r="AL26" s="210"/>
      <c r="AM26" s="210"/>
      <c r="AN26" s="210"/>
      <c r="AO26" s="210"/>
      <c r="AP26" s="210"/>
      <c r="AQ26" s="210"/>
      <c r="AR26" s="210"/>
      <c r="AS26" s="210"/>
      <c r="AT26" s="210"/>
      <c r="AU26" s="210"/>
      <c r="AV26" s="210"/>
      <c r="AW26" s="210"/>
      <c r="AX26" s="210"/>
      <c r="AY26" s="210"/>
      <c r="AZ26" s="210"/>
      <c r="BA26" s="210"/>
      <c r="BB26" s="210"/>
      <c r="BC26" s="210"/>
      <c r="BD26" s="210"/>
      <c r="BE26" s="210"/>
      <c r="BF26" s="210"/>
      <c r="BG26" s="210"/>
      <c r="BH26" s="210"/>
      <c r="BI26" s="210"/>
      <c r="BJ26" s="210"/>
      <c r="BK26" s="210"/>
      <c r="BL26" s="210"/>
      <c r="BM26" s="210"/>
      <c r="BN26" s="210"/>
      <c r="BO26" s="25"/>
      <c r="BP26" s="242">
        <f>COUNTIF(E26:H26,"X")</f>
        <v>0</v>
      </c>
      <c r="BQ26" s="78">
        <f>COUNTIF(E26:H26,"X/2")/2</f>
        <v>0</v>
      </c>
      <c r="BR26" s="273">
        <f t="shared" si="1"/>
        <v>0</v>
      </c>
      <c r="BS26" s="270">
        <v>270000</v>
      </c>
      <c r="BT26" s="52">
        <f t="shared" si="2"/>
        <v>0</v>
      </c>
      <c r="BU26" s="359"/>
    </row>
    <row r="27" spans="1:73" s="31" customFormat="1" x14ac:dyDescent="0.3">
      <c r="A27" s="61">
        <f t="shared" si="3"/>
        <v>23</v>
      </c>
      <c r="B27" s="116" t="s">
        <v>171</v>
      </c>
      <c r="C27" s="116"/>
      <c r="D27" s="205" t="s">
        <v>5</v>
      </c>
      <c r="E27" s="127"/>
      <c r="F27" s="21"/>
      <c r="G27" s="21"/>
      <c r="H27" s="21"/>
      <c r="I27" s="21"/>
      <c r="J27" s="21"/>
      <c r="K27" s="21"/>
      <c r="L27" s="21"/>
      <c r="M27" s="146"/>
      <c r="N27" s="21"/>
      <c r="O27" s="21"/>
      <c r="P27" s="21"/>
      <c r="Q27" s="21"/>
      <c r="R27" s="210"/>
      <c r="S27" s="210"/>
      <c r="T27" s="210"/>
      <c r="U27" s="210"/>
      <c r="V27" s="210"/>
      <c r="W27" s="210"/>
      <c r="X27" s="210"/>
      <c r="Y27" s="210"/>
      <c r="Z27" s="210"/>
      <c r="AA27" s="210"/>
      <c r="AB27" s="210"/>
      <c r="AC27" s="210"/>
      <c r="AD27" s="210"/>
      <c r="AE27" s="210"/>
      <c r="AF27" s="210"/>
      <c r="AG27" s="210"/>
      <c r="AH27" s="210"/>
      <c r="AI27" s="210"/>
      <c r="AJ27" s="210"/>
      <c r="AK27" s="210"/>
      <c r="AL27" s="210"/>
      <c r="AM27" s="210"/>
      <c r="AN27" s="210"/>
      <c r="AO27" s="210"/>
      <c r="AP27" s="210"/>
      <c r="AQ27" s="210"/>
      <c r="AR27" s="210"/>
      <c r="AS27" s="210"/>
      <c r="AT27" s="210"/>
      <c r="AU27" s="210"/>
      <c r="AV27" s="210"/>
      <c r="AW27" s="210"/>
      <c r="AX27" s="210"/>
      <c r="AY27" s="210"/>
      <c r="AZ27" s="210"/>
      <c r="BA27" s="210"/>
      <c r="BB27" s="210"/>
      <c r="BC27" s="210"/>
      <c r="BD27" s="210"/>
      <c r="BE27" s="210"/>
      <c r="BF27" s="210"/>
      <c r="BG27" s="210"/>
      <c r="BH27" s="210"/>
      <c r="BI27" s="210"/>
      <c r="BJ27" s="210"/>
      <c r="BK27" s="210"/>
      <c r="BL27" s="210"/>
      <c r="BM27" s="210"/>
      <c r="BN27" s="210"/>
      <c r="BO27" s="25"/>
      <c r="BP27" s="242">
        <f>COUNTIF(E27:H27,"X")</f>
        <v>0</v>
      </c>
      <c r="BQ27" s="78">
        <f>COUNTIF(E27:H27,"X/2")/2</f>
        <v>0</v>
      </c>
      <c r="BR27" s="273">
        <f t="shared" si="1"/>
        <v>0</v>
      </c>
      <c r="BS27" s="270">
        <v>280000</v>
      </c>
      <c r="BT27" s="53">
        <f t="shared" si="2"/>
        <v>0</v>
      </c>
      <c r="BU27" s="359"/>
    </row>
    <row r="28" spans="1:73" s="31" customFormat="1" x14ac:dyDescent="0.3">
      <c r="A28" s="61">
        <f t="shared" si="3"/>
        <v>24</v>
      </c>
      <c r="B28" s="116" t="s">
        <v>172</v>
      </c>
      <c r="C28" s="116"/>
      <c r="D28" s="205" t="s">
        <v>4</v>
      </c>
      <c r="E28" s="233"/>
      <c r="F28" s="32"/>
      <c r="G28" s="32"/>
      <c r="H28" s="32"/>
      <c r="I28" s="32"/>
      <c r="J28" s="32"/>
      <c r="K28" s="32"/>
      <c r="L28" s="32"/>
      <c r="M28" s="280"/>
      <c r="N28" s="32"/>
      <c r="O28" s="32"/>
      <c r="P28" s="32"/>
      <c r="Q28" s="32"/>
      <c r="R28" s="211"/>
      <c r="S28" s="211"/>
      <c r="T28" s="211"/>
      <c r="U28" s="211"/>
      <c r="V28" s="211"/>
      <c r="W28" s="211"/>
      <c r="X28" s="211"/>
      <c r="Y28" s="211"/>
      <c r="Z28" s="211"/>
      <c r="AA28" s="211"/>
      <c r="AB28" s="211"/>
      <c r="AC28" s="211"/>
      <c r="AD28" s="211"/>
      <c r="AE28" s="211"/>
      <c r="AF28" s="211"/>
      <c r="AG28" s="211"/>
      <c r="AH28" s="211"/>
      <c r="AI28" s="211"/>
      <c r="AJ28" s="211"/>
      <c r="AK28" s="211"/>
      <c r="AL28" s="211"/>
      <c r="AM28" s="211"/>
      <c r="AN28" s="211"/>
      <c r="AO28" s="211"/>
      <c r="AP28" s="211"/>
      <c r="AQ28" s="211"/>
      <c r="AR28" s="211"/>
      <c r="AS28" s="211"/>
      <c r="AT28" s="211"/>
      <c r="AU28" s="211"/>
      <c r="AV28" s="211"/>
      <c r="AW28" s="211"/>
      <c r="AX28" s="211"/>
      <c r="AY28" s="211"/>
      <c r="AZ28" s="211"/>
      <c r="BA28" s="211"/>
      <c r="BB28" s="211"/>
      <c r="BC28" s="211"/>
      <c r="BD28" s="211"/>
      <c r="BE28" s="211"/>
      <c r="BF28" s="211"/>
      <c r="BG28" s="211"/>
      <c r="BH28" s="211"/>
      <c r="BI28" s="211"/>
      <c r="BJ28" s="211"/>
      <c r="BK28" s="211"/>
      <c r="BL28" s="211"/>
      <c r="BM28" s="211"/>
      <c r="BN28" s="211"/>
      <c r="BO28" s="33"/>
      <c r="BP28" s="242">
        <f>COUNTIF(E28:H28,"X")</f>
        <v>0</v>
      </c>
      <c r="BQ28" s="78">
        <f>COUNTIF(E28:H28,"X/2")/2</f>
        <v>0</v>
      </c>
      <c r="BR28" s="273">
        <f t="shared" si="1"/>
        <v>0</v>
      </c>
      <c r="BS28" s="270">
        <v>370000</v>
      </c>
      <c r="BT28" s="53">
        <f t="shared" si="2"/>
        <v>0</v>
      </c>
      <c r="BU28" s="359"/>
    </row>
    <row r="29" spans="1:73" s="55" customFormat="1" x14ac:dyDescent="0.3">
      <c r="A29" s="294">
        <v>25</v>
      </c>
      <c r="B29" s="159" t="s">
        <v>194</v>
      </c>
      <c r="C29" s="159"/>
      <c r="D29" s="206" t="s">
        <v>4</v>
      </c>
      <c r="E29" s="127"/>
      <c r="F29" s="32"/>
      <c r="G29" s="32"/>
      <c r="H29" s="32"/>
      <c r="I29" s="32"/>
      <c r="J29" s="32"/>
      <c r="K29" s="32"/>
      <c r="L29" s="32"/>
      <c r="M29" s="280"/>
      <c r="N29" s="32"/>
      <c r="O29" s="32"/>
      <c r="P29" s="32"/>
      <c r="Q29" s="32"/>
      <c r="R29" s="211"/>
      <c r="S29" s="211"/>
      <c r="T29" s="211"/>
      <c r="U29" s="211"/>
      <c r="V29" s="211"/>
      <c r="W29" s="211"/>
      <c r="X29" s="211"/>
      <c r="Y29" s="211"/>
      <c r="Z29" s="211"/>
      <c r="AA29" s="211"/>
      <c r="AB29" s="211"/>
      <c r="AC29" s="211"/>
      <c r="AD29" s="211"/>
      <c r="AE29" s="211"/>
      <c r="AF29" s="211"/>
      <c r="AG29" s="211"/>
      <c r="AH29" s="211"/>
      <c r="AI29" s="211"/>
      <c r="AJ29" s="211"/>
      <c r="AK29" s="211"/>
      <c r="AL29" s="211"/>
      <c r="AM29" s="211"/>
      <c r="AN29" s="211"/>
      <c r="AO29" s="211"/>
      <c r="AP29" s="211"/>
      <c r="AQ29" s="211"/>
      <c r="AR29" s="211"/>
      <c r="AS29" s="211"/>
      <c r="AT29" s="211"/>
      <c r="AU29" s="211"/>
      <c r="AV29" s="211"/>
      <c r="AW29" s="211"/>
      <c r="AX29" s="211"/>
      <c r="AY29" s="211"/>
      <c r="AZ29" s="211"/>
      <c r="BA29" s="211"/>
      <c r="BB29" s="211"/>
      <c r="BC29" s="211"/>
      <c r="BD29" s="211"/>
      <c r="BE29" s="211"/>
      <c r="BF29" s="211"/>
      <c r="BG29" s="211"/>
      <c r="BH29" s="211"/>
      <c r="BI29" s="211"/>
      <c r="BJ29" s="211"/>
      <c r="BK29" s="211"/>
      <c r="BL29" s="211"/>
      <c r="BM29" s="211"/>
      <c r="BN29" s="211"/>
      <c r="BO29" s="33"/>
      <c r="BP29" s="242">
        <f>COUNTIF(E29:H29,"X")</f>
        <v>0</v>
      </c>
      <c r="BQ29" s="78">
        <f>COUNTIF(E29:H29,"X/2")/2</f>
        <v>0</v>
      </c>
      <c r="BR29" s="273">
        <f t="shared" si="1"/>
        <v>0</v>
      </c>
      <c r="BS29" s="270">
        <v>400000</v>
      </c>
      <c r="BT29" s="53">
        <f t="shared" si="2"/>
        <v>0</v>
      </c>
      <c r="BU29" s="364"/>
    </row>
    <row r="30" spans="1:73" s="55" customFormat="1" x14ac:dyDescent="0.3">
      <c r="A30" s="294">
        <f t="shared" si="3"/>
        <v>26</v>
      </c>
      <c r="B30" s="159" t="s">
        <v>220</v>
      </c>
      <c r="C30" s="159"/>
      <c r="D30" s="206" t="s">
        <v>4</v>
      </c>
      <c r="E30" s="127"/>
      <c r="F30" s="32"/>
      <c r="G30" s="32"/>
      <c r="H30" s="32"/>
      <c r="I30" s="32"/>
      <c r="J30" s="32"/>
      <c r="K30" s="32"/>
      <c r="L30" s="32"/>
      <c r="M30" s="280"/>
      <c r="N30" s="32"/>
      <c r="O30" s="32"/>
      <c r="P30" s="32"/>
      <c r="Q30" s="32"/>
      <c r="R30" s="211"/>
      <c r="S30" s="211"/>
      <c r="T30" s="211"/>
      <c r="U30" s="211"/>
      <c r="V30" s="211"/>
      <c r="W30" s="211"/>
      <c r="X30" s="211"/>
      <c r="Y30" s="211"/>
      <c r="Z30" s="211"/>
      <c r="AA30" s="211"/>
      <c r="AB30" s="211"/>
      <c r="AC30" s="211"/>
      <c r="AD30" s="211"/>
      <c r="AE30" s="211"/>
      <c r="AF30" s="211"/>
      <c r="AG30" s="211"/>
      <c r="AH30" s="211"/>
      <c r="AI30" s="211"/>
      <c r="AJ30" s="211"/>
      <c r="AK30" s="211"/>
      <c r="AL30" s="211"/>
      <c r="AM30" s="211"/>
      <c r="AN30" s="211"/>
      <c r="AO30" s="211"/>
      <c r="AP30" s="211"/>
      <c r="AQ30" s="211"/>
      <c r="AR30" s="211"/>
      <c r="AS30" s="211"/>
      <c r="AT30" s="211"/>
      <c r="AU30" s="211"/>
      <c r="AV30" s="211"/>
      <c r="AW30" s="211"/>
      <c r="AX30" s="211"/>
      <c r="AY30" s="211"/>
      <c r="AZ30" s="211"/>
      <c r="BA30" s="211"/>
      <c r="BB30" s="211"/>
      <c r="BC30" s="211"/>
      <c r="BD30" s="211"/>
      <c r="BE30" s="211"/>
      <c r="BF30" s="211"/>
      <c r="BG30" s="211"/>
      <c r="BH30" s="211"/>
      <c r="BI30" s="211"/>
      <c r="BJ30" s="211"/>
      <c r="BK30" s="211"/>
      <c r="BL30" s="211"/>
      <c r="BM30" s="211"/>
      <c r="BN30" s="211"/>
      <c r="BO30" s="33"/>
      <c r="BP30" s="242">
        <f>COUNTIF(E30:H30,"X")</f>
        <v>0</v>
      </c>
      <c r="BQ30" s="78">
        <f>COUNTIF(E30:H30,"X/2")/2</f>
        <v>0</v>
      </c>
      <c r="BR30" s="273">
        <f t="shared" si="1"/>
        <v>0</v>
      </c>
      <c r="BS30" s="270">
        <v>370000</v>
      </c>
      <c r="BT30" s="53">
        <f t="shared" si="2"/>
        <v>0</v>
      </c>
      <c r="BU30" s="364"/>
    </row>
    <row r="31" spans="1:73" s="55" customFormat="1" x14ac:dyDescent="0.3">
      <c r="A31" s="294">
        <f t="shared" si="3"/>
        <v>27</v>
      </c>
      <c r="B31" s="159" t="s">
        <v>221</v>
      </c>
      <c r="C31" s="159"/>
      <c r="D31" s="206" t="s">
        <v>4</v>
      </c>
      <c r="E31" s="127"/>
      <c r="F31" s="32"/>
      <c r="G31" s="32"/>
      <c r="H31" s="32"/>
      <c r="I31" s="32"/>
      <c r="J31" s="32"/>
      <c r="K31" s="32"/>
      <c r="L31" s="32"/>
      <c r="M31" s="280"/>
      <c r="N31" s="32"/>
      <c r="O31" s="32"/>
      <c r="P31" s="32"/>
      <c r="Q31" s="32"/>
      <c r="R31" s="211"/>
      <c r="S31" s="211"/>
      <c r="T31" s="211"/>
      <c r="U31" s="211"/>
      <c r="V31" s="211"/>
      <c r="W31" s="211"/>
      <c r="X31" s="211"/>
      <c r="Y31" s="211"/>
      <c r="Z31" s="211"/>
      <c r="AA31" s="211"/>
      <c r="AB31" s="211"/>
      <c r="AC31" s="211"/>
      <c r="AD31" s="211"/>
      <c r="AE31" s="211"/>
      <c r="AF31" s="211"/>
      <c r="AG31" s="211"/>
      <c r="AH31" s="211"/>
      <c r="AI31" s="211"/>
      <c r="AJ31" s="211"/>
      <c r="AK31" s="211"/>
      <c r="AL31" s="211"/>
      <c r="AM31" s="211"/>
      <c r="AN31" s="211"/>
      <c r="AO31" s="211"/>
      <c r="AP31" s="211"/>
      <c r="AQ31" s="211"/>
      <c r="AR31" s="211"/>
      <c r="AS31" s="211"/>
      <c r="AT31" s="211"/>
      <c r="AU31" s="211"/>
      <c r="AV31" s="211"/>
      <c r="AW31" s="211"/>
      <c r="AX31" s="211"/>
      <c r="AY31" s="211"/>
      <c r="AZ31" s="211"/>
      <c r="BA31" s="211"/>
      <c r="BB31" s="211"/>
      <c r="BC31" s="211"/>
      <c r="BD31" s="211"/>
      <c r="BE31" s="211"/>
      <c r="BF31" s="211"/>
      <c r="BG31" s="211"/>
      <c r="BH31" s="211"/>
      <c r="BI31" s="211"/>
      <c r="BJ31" s="211"/>
      <c r="BK31" s="211"/>
      <c r="BL31" s="211"/>
      <c r="BM31" s="211"/>
      <c r="BN31" s="211"/>
      <c r="BO31" s="33"/>
      <c r="BP31" s="242">
        <f>COUNTIF(E31:H31,"X")</f>
        <v>0</v>
      </c>
      <c r="BQ31" s="78">
        <f>COUNTIF(E31:H31,"X/2")/2</f>
        <v>0</v>
      </c>
      <c r="BR31" s="273">
        <f t="shared" si="1"/>
        <v>0</v>
      </c>
      <c r="BS31" s="270">
        <v>380000</v>
      </c>
      <c r="BT31" s="53">
        <f t="shared" si="2"/>
        <v>0</v>
      </c>
      <c r="BU31" s="361"/>
    </row>
    <row r="32" spans="1:73" s="31" customFormat="1" x14ac:dyDescent="0.3">
      <c r="A32" s="61">
        <f t="shared" si="3"/>
        <v>28</v>
      </c>
      <c r="B32" s="48" t="s">
        <v>222</v>
      </c>
      <c r="C32" s="48"/>
      <c r="D32" s="204" t="s">
        <v>4</v>
      </c>
      <c r="E32" s="41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211"/>
      <c r="S32" s="282"/>
      <c r="T32" s="211"/>
      <c r="U32" s="211"/>
      <c r="V32" s="211"/>
      <c r="W32" s="211"/>
      <c r="X32" s="211"/>
      <c r="Y32" s="211"/>
      <c r="Z32" s="211"/>
      <c r="AA32" s="211"/>
      <c r="AB32" s="211"/>
      <c r="AC32" s="211"/>
      <c r="AD32" s="211"/>
      <c r="AE32" s="211"/>
      <c r="AF32" s="211"/>
      <c r="AG32" s="211"/>
      <c r="AH32" s="211"/>
      <c r="AI32" s="211"/>
      <c r="AJ32" s="211"/>
      <c r="AK32" s="211"/>
      <c r="AL32" s="211"/>
      <c r="AM32" s="211"/>
      <c r="AN32" s="211"/>
      <c r="AO32" s="211"/>
      <c r="AP32" s="211"/>
      <c r="AQ32" s="211"/>
      <c r="AR32" s="211" t="s">
        <v>9</v>
      </c>
      <c r="AS32" s="211"/>
      <c r="AT32" s="211"/>
      <c r="AU32" s="211"/>
      <c r="AV32" s="211"/>
      <c r="AW32" s="211"/>
      <c r="AX32" s="211"/>
      <c r="AY32" s="211"/>
      <c r="AZ32" s="211"/>
      <c r="BA32" s="211"/>
      <c r="BB32" s="211"/>
      <c r="BC32" s="211"/>
      <c r="BD32" s="211"/>
      <c r="BE32" s="211"/>
      <c r="BF32" s="211"/>
      <c r="BG32" s="211"/>
      <c r="BH32" s="211"/>
      <c r="BI32" s="211"/>
      <c r="BJ32" s="211"/>
      <c r="BK32" s="211"/>
      <c r="BL32" s="211"/>
      <c r="BM32" s="211"/>
      <c r="BN32" s="211"/>
      <c r="BO32" s="33"/>
      <c r="BP32" s="242">
        <f>COUNTIF(E32:BO32,"X")</f>
        <v>1</v>
      </c>
      <c r="BQ32" s="78">
        <f>COUNTIF(E32:H32,"X/2")/2</f>
        <v>0</v>
      </c>
      <c r="BR32" s="273">
        <f t="shared" si="1"/>
        <v>1</v>
      </c>
      <c r="BS32" s="270">
        <v>360000</v>
      </c>
      <c r="BT32" s="53">
        <f t="shared" si="2"/>
        <v>360000</v>
      </c>
      <c r="BU32" s="359"/>
    </row>
    <row r="33" spans="1:74" s="31" customFormat="1" x14ac:dyDescent="0.3">
      <c r="A33" s="61">
        <f t="shared" si="3"/>
        <v>29</v>
      </c>
      <c r="B33" s="116" t="s">
        <v>223</v>
      </c>
      <c r="C33" s="116"/>
      <c r="D33" s="205" t="s">
        <v>5</v>
      </c>
      <c r="E33" s="41"/>
      <c r="F33" s="32"/>
      <c r="G33" s="32"/>
      <c r="H33" s="32"/>
      <c r="I33" s="32"/>
      <c r="J33" s="32"/>
      <c r="K33" s="32"/>
      <c r="L33" s="32"/>
      <c r="M33" s="280"/>
      <c r="N33" s="32"/>
      <c r="O33" s="32"/>
      <c r="P33" s="32"/>
      <c r="Q33" s="32"/>
      <c r="R33" s="211"/>
      <c r="S33" s="211"/>
      <c r="T33" s="211"/>
      <c r="U33" s="211"/>
      <c r="V33" s="211"/>
      <c r="W33" s="211"/>
      <c r="X33" s="211"/>
      <c r="Y33" s="211"/>
      <c r="Z33" s="211"/>
      <c r="AA33" s="211"/>
      <c r="AB33" s="211"/>
      <c r="AC33" s="211"/>
      <c r="AD33" s="211"/>
      <c r="AE33" s="211"/>
      <c r="AF33" s="211"/>
      <c r="AG33" s="211"/>
      <c r="AH33" s="211"/>
      <c r="AI33" s="211"/>
      <c r="AJ33" s="211"/>
      <c r="AK33" s="211"/>
      <c r="AL33" s="211"/>
      <c r="AM33" s="211"/>
      <c r="AN33" s="211"/>
      <c r="AO33" s="211"/>
      <c r="AP33" s="211"/>
      <c r="AQ33" s="211"/>
      <c r="AR33" s="211"/>
      <c r="AS33" s="211"/>
      <c r="AT33" s="211"/>
      <c r="AU33" s="211"/>
      <c r="AV33" s="211"/>
      <c r="AW33" s="211"/>
      <c r="AX33" s="211"/>
      <c r="AY33" s="211"/>
      <c r="AZ33" s="211"/>
      <c r="BA33" s="211"/>
      <c r="BB33" s="211"/>
      <c r="BC33" s="211"/>
      <c r="BD33" s="211"/>
      <c r="BE33" s="211"/>
      <c r="BF33" s="211"/>
      <c r="BG33" s="211"/>
      <c r="BH33" s="211"/>
      <c r="BI33" s="211"/>
      <c r="BJ33" s="211"/>
      <c r="BK33" s="211"/>
      <c r="BL33" s="211"/>
      <c r="BM33" s="211"/>
      <c r="BN33" s="211"/>
      <c r="BO33" s="33"/>
      <c r="BP33" s="242">
        <f>COUNTIF(E33:H33,"X")</f>
        <v>0</v>
      </c>
      <c r="BQ33" s="78">
        <f>COUNTIF(E33:H33,"X/2")/2</f>
        <v>0</v>
      </c>
      <c r="BR33" s="273">
        <f t="shared" si="1"/>
        <v>0</v>
      </c>
      <c r="BS33" s="270">
        <v>280000</v>
      </c>
      <c r="BT33" s="53">
        <f>BR33*BS33</f>
        <v>0</v>
      </c>
      <c r="BU33" s="359"/>
    </row>
    <row r="34" spans="1:74" s="31" customFormat="1" x14ac:dyDescent="0.3">
      <c r="A34" s="61">
        <f>A33+1</f>
        <v>30</v>
      </c>
      <c r="B34" s="116" t="s">
        <v>224</v>
      </c>
      <c r="C34" s="116"/>
      <c r="D34" s="205" t="s">
        <v>4</v>
      </c>
      <c r="E34" s="127"/>
      <c r="F34" s="32"/>
      <c r="G34" s="32"/>
      <c r="H34" s="32"/>
      <c r="I34" s="32"/>
      <c r="J34" s="32"/>
      <c r="K34" s="32"/>
      <c r="L34" s="32"/>
      <c r="M34" s="280"/>
      <c r="N34" s="32"/>
      <c r="O34" s="32"/>
      <c r="P34" s="32"/>
      <c r="Q34" s="32"/>
      <c r="R34" s="211"/>
      <c r="S34" s="211"/>
      <c r="T34" s="211"/>
      <c r="U34" s="211"/>
      <c r="V34" s="211"/>
      <c r="W34" s="211"/>
      <c r="X34" s="211"/>
      <c r="Y34" s="211"/>
      <c r="Z34" s="211"/>
      <c r="AA34" s="211"/>
      <c r="AB34" s="211"/>
      <c r="AC34" s="211"/>
      <c r="AD34" s="211"/>
      <c r="AE34" s="211"/>
      <c r="AF34" s="211"/>
      <c r="AG34" s="211"/>
      <c r="AH34" s="211"/>
      <c r="AI34" s="211"/>
      <c r="AJ34" s="211"/>
      <c r="AK34" s="211"/>
      <c r="AL34" s="211"/>
      <c r="AM34" s="211"/>
      <c r="AN34" s="211"/>
      <c r="AO34" s="211"/>
      <c r="AP34" s="211"/>
      <c r="AQ34" s="211"/>
      <c r="AR34" s="211"/>
      <c r="AS34" s="211"/>
      <c r="AT34" s="211"/>
      <c r="AU34" s="211"/>
      <c r="AV34" s="211"/>
      <c r="AW34" s="211"/>
      <c r="AX34" s="211"/>
      <c r="AY34" s="211"/>
      <c r="AZ34" s="211"/>
      <c r="BA34" s="211"/>
      <c r="BB34" s="211"/>
      <c r="BC34" s="211"/>
      <c r="BD34" s="211"/>
      <c r="BE34" s="211"/>
      <c r="BF34" s="211"/>
      <c r="BG34" s="211"/>
      <c r="BH34" s="211"/>
      <c r="BI34" s="211"/>
      <c r="BJ34" s="211"/>
      <c r="BK34" s="211"/>
      <c r="BL34" s="211"/>
      <c r="BM34" s="211"/>
      <c r="BN34" s="211"/>
      <c r="BO34" s="33"/>
      <c r="BP34" s="242">
        <f>COUNTIF(E34:H34,"X")</f>
        <v>0</v>
      </c>
      <c r="BQ34" s="78">
        <f>COUNTIF(E34:H34,"X/2")/2</f>
        <v>0</v>
      </c>
      <c r="BR34" s="273">
        <f t="shared" si="1"/>
        <v>0</v>
      </c>
      <c r="BS34" s="270">
        <v>370000</v>
      </c>
      <c r="BT34" s="53">
        <f t="shared" si="2"/>
        <v>0</v>
      </c>
      <c r="BU34" s="359"/>
    </row>
    <row r="35" spans="1:74" s="31" customFormat="1" x14ac:dyDescent="0.3">
      <c r="A35" s="61">
        <f t="shared" si="3"/>
        <v>31</v>
      </c>
      <c r="B35" s="116" t="s">
        <v>225</v>
      </c>
      <c r="C35" s="116"/>
      <c r="D35" s="205" t="s">
        <v>5</v>
      </c>
      <c r="E35" s="127"/>
      <c r="F35" s="32"/>
      <c r="G35" s="32"/>
      <c r="H35" s="32"/>
      <c r="I35" s="32"/>
      <c r="J35" s="32"/>
      <c r="K35" s="32"/>
      <c r="L35" s="32"/>
      <c r="M35" s="280"/>
      <c r="N35" s="32"/>
      <c r="O35" s="32"/>
      <c r="P35" s="32"/>
      <c r="Q35" s="32"/>
      <c r="R35" s="211"/>
      <c r="S35" s="211"/>
      <c r="T35" s="211"/>
      <c r="U35" s="211"/>
      <c r="V35" s="211"/>
      <c r="W35" s="211"/>
      <c r="X35" s="211"/>
      <c r="Y35" s="211"/>
      <c r="Z35" s="211"/>
      <c r="AA35" s="211"/>
      <c r="AB35" s="211"/>
      <c r="AC35" s="211"/>
      <c r="AD35" s="211"/>
      <c r="AE35" s="211"/>
      <c r="AF35" s="211"/>
      <c r="AG35" s="211"/>
      <c r="AH35" s="211"/>
      <c r="AI35" s="211"/>
      <c r="AJ35" s="211"/>
      <c r="AK35" s="211"/>
      <c r="AL35" s="211"/>
      <c r="AM35" s="211"/>
      <c r="AN35" s="211"/>
      <c r="AO35" s="211"/>
      <c r="AP35" s="211"/>
      <c r="AQ35" s="211"/>
      <c r="AR35" s="211"/>
      <c r="AS35" s="211"/>
      <c r="AT35" s="211"/>
      <c r="AU35" s="211"/>
      <c r="AV35" s="211"/>
      <c r="AW35" s="211"/>
      <c r="AX35" s="211"/>
      <c r="AY35" s="211"/>
      <c r="AZ35" s="211"/>
      <c r="BA35" s="211"/>
      <c r="BB35" s="211"/>
      <c r="BC35" s="211"/>
      <c r="BD35" s="211"/>
      <c r="BE35" s="211"/>
      <c r="BF35" s="211"/>
      <c r="BG35" s="211"/>
      <c r="BH35" s="211"/>
      <c r="BI35" s="211"/>
      <c r="BJ35" s="211"/>
      <c r="BK35" s="211"/>
      <c r="BL35" s="211"/>
      <c r="BM35" s="211"/>
      <c r="BN35" s="211"/>
      <c r="BO35" s="33"/>
      <c r="BP35" s="242">
        <f>COUNTIF(E35:H35,"X")</f>
        <v>0</v>
      </c>
      <c r="BQ35" s="78">
        <f>COUNTIF(E35:H35,"X/2")/2</f>
        <v>0</v>
      </c>
      <c r="BR35" s="273">
        <f t="shared" si="1"/>
        <v>0</v>
      </c>
      <c r="BS35" s="270">
        <v>270000</v>
      </c>
      <c r="BT35" s="53">
        <f t="shared" si="2"/>
        <v>0</v>
      </c>
      <c r="BU35" s="359"/>
    </row>
    <row r="36" spans="1:74" s="31" customFormat="1" x14ac:dyDescent="0.3">
      <c r="A36" s="61">
        <f t="shared" si="3"/>
        <v>32</v>
      </c>
      <c r="B36" s="116" t="s">
        <v>226</v>
      </c>
      <c r="C36" s="116"/>
      <c r="D36" s="205" t="s">
        <v>4</v>
      </c>
      <c r="E36" s="127"/>
      <c r="F36" s="32"/>
      <c r="G36" s="32"/>
      <c r="H36" s="32"/>
      <c r="I36" s="32"/>
      <c r="J36" s="32"/>
      <c r="K36" s="32"/>
      <c r="L36" s="32"/>
      <c r="M36" s="280"/>
      <c r="N36" s="32"/>
      <c r="O36" s="32"/>
      <c r="P36" s="32"/>
      <c r="Q36" s="32"/>
      <c r="R36" s="211"/>
      <c r="S36" s="211"/>
      <c r="T36" s="211"/>
      <c r="U36" s="211"/>
      <c r="V36" s="211"/>
      <c r="W36" s="211"/>
      <c r="X36" s="211"/>
      <c r="Y36" s="211"/>
      <c r="Z36" s="211"/>
      <c r="AA36" s="211"/>
      <c r="AB36" s="211"/>
      <c r="AC36" s="211"/>
      <c r="AD36" s="211"/>
      <c r="AE36" s="211"/>
      <c r="AF36" s="211"/>
      <c r="AG36" s="211"/>
      <c r="AH36" s="211"/>
      <c r="AI36" s="211"/>
      <c r="AJ36" s="211"/>
      <c r="AK36" s="211"/>
      <c r="AL36" s="211"/>
      <c r="AM36" s="211"/>
      <c r="AN36" s="211"/>
      <c r="AO36" s="211"/>
      <c r="AP36" s="211"/>
      <c r="AQ36" s="211"/>
      <c r="AR36" s="211"/>
      <c r="AS36" s="211"/>
      <c r="AT36" s="211"/>
      <c r="AU36" s="211"/>
      <c r="AV36" s="211"/>
      <c r="AW36" s="211"/>
      <c r="AX36" s="211"/>
      <c r="AY36" s="211"/>
      <c r="AZ36" s="211"/>
      <c r="BA36" s="211"/>
      <c r="BB36" s="211"/>
      <c r="BC36" s="211"/>
      <c r="BD36" s="211"/>
      <c r="BE36" s="211"/>
      <c r="BF36" s="211"/>
      <c r="BG36" s="211"/>
      <c r="BH36" s="211"/>
      <c r="BI36" s="211"/>
      <c r="BJ36" s="211"/>
      <c r="BK36" s="211"/>
      <c r="BL36" s="211"/>
      <c r="BM36" s="211"/>
      <c r="BN36" s="211"/>
      <c r="BO36" s="33"/>
      <c r="BP36" s="242">
        <f>COUNTIF(E36:H36,"X")</f>
        <v>0</v>
      </c>
      <c r="BQ36" s="78">
        <f>COUNTIF(E36:H36,"X/2")/2</f>
        <v>0</v>
      </c>
      <c r="BR36" s="273">
        <f t="shared" si="1"/>
        <v>0</v>
      </c>
      <c r="BS36" s="270">
        <v>360000</v>
      </c>
      <c r="BT36" s="53">
        <f t="shared" si="2"/>
        <v>0</v>
      </c>
      <c r="BU36" s="359"/>
    </row>
    <row r="37" spans="1:74" s="55" customFormat="1" ht="19.2" customHeight="1" x14ac:dyDescent="0.3">
      <c r="A37" s="294">
        <f t="shared" si="3"/>
        <v>33</v>
      </c>
      <c r="B37" s="159" t="s">
        <v>229</v>
      </c>
      <c r="C37" s="159"/>
      <c r="D37" s="206" t="s">
        <v>5</v>
      </c>
      <c r="E37" s="127"/>
      <c r="F37" s="32"/>
      <c r="G37" s="32"/>
      <c r="H37" s="32"/>
      <c r="I37" s="32"/>
      <c r="J37" s="32"/>
      <c r="K37" s="32"/>
      <c r="L37" s="32"/>
      <c r="M37" s="280"/>
      <c r="N37" s="32"/>
      <c r="O37" s="32"/>
      <c r="P37" s="32"/>
      <c r="Q37" s="32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  <c r="AG37" s="211"/>
      <c r="AH37" s="211"/>
      <c r="AI37" s="211"/>
      <c r="AJ37" s="211"/>
      <c r="AK37" s="211"/>
      <c r="AL37" s="211"/>
      <c r="AM37" s="211"/>
      <c r="AN37" s="211"/>
      <c r="AO37" s="211"/>
      <c r="AP37" s="211"/>
      <c r="AQ37" s="211"/>
      <c r="AR37" s="211"/>
      <c r="AS37" s="211"/>
      <c r="AT37" s="211"/>
      <c r="AU37" s="211"/>
      <c r="AV37" s="211"/>
      <c r="AW37" s="211"/>
      <c r="AX37" s="211"/>
      <c r="AY37" s="211"/>
      <c r="AZ37" s="211"/>
      <c r="BA37" s="211"/>
      <c r="BB37" s="211"/>
      <c r="BC37" s="211"/>
      <c r="BD37" s="211"/>
      <c r="BE37" s="211"/>
      <c r="BF37" s="211"/>
      <c r="BG37" s="211"/>
      <c r="BH37" s="211"/>
      <c r="BI37" s="211"/>
      <c r="BJ37" s="211"/>
      <c r="BK37" s="211"/>
      <c r="BL37" s="211"/>
      <c r="BM37" s="211"/>
      <c r="BN37" s="211"/>
      <c r="BO37" s="33"/>
      <c r="BP37" s="242">
        <f>COUNTIF(E37:H37,"X")</f>
        <v>0</v>
      </c>
      <c r="BQ37" s="78">
        <f>COUNTIF(E37:H37,"X/2")/2</f>
        <v>0</v>
      </c>
      <c r="BR37" s="273">
        <f t="shared" si="1"/>
        <v>0</v>
      </c>
      <c r="BS37" s="270">
        <v>280000</v>
      </c>
      <c r="BT37" s="53">
        <f>BR37*BS37</f>
        <v>0</v>
      </c>
      <c r="BU37" s="362"/>
      <c r="BV37" s="295"/>
    </row>
    <row r="38" spans="1:74" s="55" customFormat="1" x14ac:dyDescent="0.3">
      <c r="A38" s="61">
        <f t="shared" si="3"/>
        <v>34</v>
      </c>
      <c r="B38" s="159" t="s">
        <v>230</v>
      </c>
      <c r="C38" s="159"/>
      <c r="D38" s="206" t="s">
        <v>5</v>
      </c>
      <c r="E38" s="127"/>
      <c r="F38" s="32"/>
      <c r="G38" s="32"/>
      <c r="H38" s="32"/>
      <c r="I38" s="32"/>
      <c r="J38" s="32"/>
      <c r="K38" s="32"/>
      <c r="L38" s="32"/>
      <c r="M38" s="280"/>
      <c r="N38" s="32"/>
      <c r="O38" s="32"/>
      <c r="P38" s="32"/>
      <c r="Q38" s="32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33"/>
      <c r="BP38" s="242">
        <f>COUNTIF(E38:H38,"X")</f>
        <v>0</v>
      </c>
      <c r="BQ38" s="78">
        <f>COUNTIF(E38:H38,"X/2")/2</f>
        <v>0</v>
      </c>
      <c r="BR38" s="273">
        <f t="shared" si="1"/>
        <v>0</v>
      </c>
      <c r="BS38" s="270">
        <v>260000</v>
      </c>
      <c r="BT38" s="53">
        <f t="shared" si="2"/>
        <v>0</v>
      </c>
      <c r="BU38" s="362"/>
    </row>
    <row r="39" spans="1:74" s="31" customFormat="1" x14ac:dyDescent="0.3">
      <c r="A39" s="61">
        <f t="shared" si="3"/>
        <v>35</v>
      </c>
      <c r="B39" s="116" t="s">
        <v>231</v>
      </c>
      <c r="C39" s="116"/>
      <c r="D39" s="205" t="s">
        <v>4</v>
      </c>
      <c r="E39" s="127"/>
      <c r="F39" s="32"/>
      <c r="G39" s="32"/>
      <c r="H39" s="32"/>
      <c r="I39" s="32"/>
      <c r="J39" s="32"/>
      <c r="K39" s="32"/>
      <c r="L39" s="32"/>
      <c r="M39" s="280"/>
      <c r="N39" s="32"/>
      <c r="O39" s="32"/>
      <c r="P39" s="32"/>
      <c r="Q39" s="32"/>
      <c r="R39" s="211"/>
      <c r="S39" s="211"/>
      <c r="T39" s="211"/>
      <c r="U39" s="211"/>
      <c r="V39" s="211"/>
      <c r="W39" s="211"/>
      <c r="X39" s="211"/>
      <c r="Y39" s="211"/>
      <c r="Z39" s="211"/>
      <c r="AA39" s="211"/>
      <c r="AB39" s="211"/>
      <c r="AC39" s="211"/>
      <c r="AD39" s="211"/>
      <c r="AE39" s="211"/>
      <c r="AF39" s="211"/>
      <c r="AG39" s="211"/>
      <c r="AH39" s="211"/>
      <c r="AI39" s="211"/>
      <c r="AJ39" s="211"/>
      <c r="AK39" s="211"/>
      <c r="AL39" s="211"/>
      <c r="AM39" s="211"/>
      <c r="AN39" s="211"/>
      <c r="AO39" s="211"/>
      <c r="AP39" s="211"/>
      <c r="AQ39" s="211"/>
      <c r="AR39" s="211"/>
      <c r="AS39" s="211"/>
      <c r="AT39" s="211"/>
      <c r="AU39" s="211"/>
      <c r="AV39" s="211"/>
      <c r="AW39" s="211"/>
      <c r="AX39" s="211"/>
      <c r="AY39" s="211"/>
      <c r="AZ39" s="211"/>
      <c r="BA39" s="211"/>
      <c r="BB39" s="211"/>
      <c r="BC39" s="211"/>
      <c r="BD39" s="211"/>
      <c r="BE39" s="211"/>
      <c r="BF39" s="211"/>
      <c r="BG39" s="211"/>
      <c r="BH39" s="211"/>
      <c r="BI39" s="211"/>
      <c r="BJ39" s="211"/>
      <c r="BK39" s="211"/>
      <c r="BL39" s="211"/>
      <c r="BM39" s="211"/>
      <c r="BN39" s="211"/>
      <c r="BO39" s="33"/>
      <c r="BP39" s="242">
        <f>COUNTIF(E39:H39,"X")</f>
        <v>0</v>
      </c>
      <c r="BQ39" s="78">
        <f>COUNTIF(E39:H39,"X/2")/2</f>
        <v>0</v>
      </c>
      <c r="BR39" s="273">
        <f t="shared" si="1"/>
        <v>0</v>
      </c>
      <c r="BS39" s="270">
        <v>360000</v>
      </c>
      <c r="BT39" s="53">
        <f t="shared" si="2"/>
        <v>0</v>
      </c>
      <c r="BU39" s="359"/>
    </row>
    <row r="40" spans="1:74" s="31" customFormat="1" x14ac:dyDescent="0.3">
      <c r="A40" s="61">
        <f t="shared" si="3"/>
        <v>36</v>
      </c>
      <c r="B40" s="116" t="s">
        <v>232</v>
      </c>
      <c r="C40" s="116"/>
      <c r="D40" s="205" t="s">
        <v>4</v>
      </c>
      <c r="E40" s="127"/>
      <c r="F40" s="32"/>
      <c r="G40" s="32"/>
      <c r="H40" s="32"/>
      <c r="I40" s="32"/>
      <c r="J40" s="32"/>
      <c r="K40" s="32"/>
      <c r="L40" s="32"/>
      <c r="M40" s="280"/>
      <c r="N40" s="32"/>
      <c r="O40" s="32"/>
      <c r="P40" s="32"/>
      <c r="Q40" s="32"/>
      <c r="R40" s="211"/>
      <c r="S40" s="211"/>
      <c r="T40" s="211"/>
      <c r="U40" s="211"/>
      <c r="V40" s="211"/>
      <c r="W40" s="211"/>
      <c r="X40" s="211"/>
      <c r="Y40" s="211"/>
      <c r="Z40" s="211"/>
      <c r="AA40" s="211"/>
      <c r="AB40" s="211"/>
      <c r="AC40" s="211"/>
      <c r="AD40" s="211"/>
      <c r="AE40" s="211"/>
      <c r="AF40" s="211"/>
      <c r="AG40" s="211"/>
      <c r="AH40" s="211"/>
      <c r="AI40" s="211"/>
      <c r="AJ40" s="211"/>
      <c r="AK40" s="211"/>
      <c r="AL40" s="211"/>
      <c r="AM40" s="211"/>
      <c r="AN40" s="211"/>
      <c r="AO40" s="211"/>
      <c r="AP40" s="211"/>
      <c r="AQ40" s="211"/>
      <c r="AR40" s="211"/>
      <c r="AS40" s="211"/>
      <c r="AT40" s="211"/>
      <c r="AU40" s="211"/>
      <c r="AV40" s="211"/>
      <c r="AW40" s="211"/>
      <c r="AX40" s="211"/>
      <c r="AY40" s="211"/>
      <c r="AZ40" s="211"/>
      <c r="BA40" s="211"/>
      <c r="BB40" s="211"/>
      <c r="BC40" s="211"/>
      <c r="BD40" s="211"/>
      <c r="BE40" s="211"/>
      <c r="BF40" s="211"/>
      <c r="BG40" s="211"/>
      <c r="BH40" s="211"/>
      <c r="BI40" s="211"/>
      <c r="BJ40" s="211"/>
      <c r="BK40" s="211"/>
      <c r="BL40" s="211"/>
      <c r="BM40" s="211"/>
      <c r="BN40" s="211"/>
      <c r="BO40" s="33"/>
      <c r="BP40" s="242">
        <f>COUNTIF(E40:H40,"X")</f>
        <v>0</v>
      </c>
      <c r="BQ40" s="78">
        <f>COUNTIF(E40:H40,"X/2")/2</f>
        <v>0</v>
      </c>
      <c r="BR40" s="273">
        <f t="shared" si="1"/>
        <v>0</v>
      </c>
      <c r="BS40" s="270">
        <v>360000</v>
      </c>
      <c r="BT40" s="53">
        <f t="shared" si="2"/>
        <v>0</v>
      </c>
      <c r="BU40" s="359"/>
    </row>
    <row r="41" spans="1:74" s="31" customFormat="1" x14ac:dyDescent="0.3">
      <c r="A41" s="61">
        <f t="shared" si="3"/>
        <v>37</v>
      </c>
      <c r="B41" s="116" t="s">
        <v>233</v>
      </c>
      <c r="C41" s="116"/>
      <c r="D41" s="205" t="s">
        <v>5</v>
      </c>
      <c r="E41" s="127"/>
      <c r="F41" s="32"/>
      <c r="G41" s="32"/>
      <c r="H41" s="32"/>
      <c r="I41" s="32"/>
      <c r="J41" s="32"/>
      <c r="K41" s="32"/>
      <c r="L41" s="32"/>
      <c r="M41" s="280"/>
      <c r="N41" s="32"/>
      <c r="O41" s="32"/>
      <c r="P41" s="32"/>
      <c r="Q41" s="32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  <c r="BM41" s="211"/>
      <c r="BN41" s="211"/>
      <c r="BO41" s="33"/>
      <c r="BP41" s="242">
        <f>COUNTIF(E41:H41,"X")</f>
        <v>0</v>
      </c>
      <c r="BQ41" s="78">
        <f>COUNTIF(E41:H41,"X/2")/2</f>
        <v>0</v>
      </c>
      <c r="BR41" s="273">
        <f t="shared" si="1"/>
        <v>0</v>
      </c>
      <c r="BS41" s="270">
        <v>260000</v>
      </c>
      <c r="BT41" s="53">
        <f t="shared" si="2"/>
        <v>0</v>
      </c>
      <c r="BU41" s="359"/>
    </row>
    <row r="42" spans="1:74" s="31" customFormat="1" x14ac:dyDescent="0.3">
      <c r="A42" s="61">
        <f t="shared" si="3"/>
        <v>38</v>
      </c>
      <c r="B42" s="116" t="s">
        <v>45</v>
      </c>
      <c r="C42" s="116"/>
      <c r="D42" s="205" t="s">
        <v>4</v>
      </c>
      <c r="E42" s="127"/>
      <c r="F42" s="32"/>
      <c r="G42" s="32"/>
      <c r="H42" s="32"/>
      <c r="I42" s="32"/>
      <c r="J42" s="32"/>
      <c r="K42" s="32"/>
      <c r="L42" s="32"/>
      <c r="M42" s="280"/>
      <c r="N42" s="32"/>
      <c r="O42" s="32"/>
      <c r="P42" s="32"/>
      <c r="Q42" s="32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33"/>
      <c r="BP42" s="242">
        <f>COUNTIF(E42:H42,"X")</f>
        <v>0</v>
      </c>
      <c r="BQ42" s="78">
        <f>COUNTIF(E42:H42,"X/2")/2</f>
        <v>0</v>
      </c>
      <c r="BR42" s="273">
        <f t="shared" si="1"/>
        <v>0</v>
      </c>
      <c r="BS42" s="270">
        <v>370000</v>
      </c>
      <c r="BT42" s="53">
        <f t="shared" si="2"/>
        <v>0</v>
      </c>
      <c r="BU42" s="359"/>
    </row>
    <row r="43" spans="1:74" s="31" customFormat="1" x14ac:dyDescent="0.3">
      <c r="A43" s="61">
        <f t="shared" si="3"/>
        <v>39</v>
      </c>
      <c r="B43" s="116" t="s">
        <v>236</v>
      </c>
      <c r="C43" s="116"/>
      <c r="D43" s="205" t="s">
        <v>5</v>
      </c>
      <c r="E43" s="127"/>
      <c r="F43" s="32"/>
      <c r="G43" s="32"/>
      <c r="H43" s="32"/>
      <c r="I43" s="32"/>
      <c r="J43" s="32"/>
      <c r="K43" s="32"/>
      <c r="L43" s="32"/>
      <c r="M43" s="280"/>
      <c r="N43" s="32"/>
      <c r="O43" s="32"/>
      <c r="P43" s="32"/>
      <c r="Q43" s="32"/>
      <c r="R43" s="211"/>
      <c r="S43" s="211"/>
      <c r="T43" s="211"/>
      <c r="U43" s="211"/>
      <c r="V43" s="211"/>
      <c r="W43" s="211"/>
      <c r="X43" s="211"/>
      <c r="Y43" s="211"/>
      <c r="Z43" s="211"/>
      <c r="AA43" s="211"/>
      <c r="AB43" s="211"/>
      <c r="AC43" s="211"/>
      <c r="AD43" s="211"/>
      <c r="AE43" s="211"/>
      <c r="AF43" s="211"/>
      <c r="AG43" s="211"/>
      <c r="AH43" s="211"/>
      <c r="AI43" s="211"/>
      <c r="AJ43" s="211"/>
      <c r="AK43" s="211"/>
      <c r="AL43" s="211"/>
      <c r="AM43" s="211"/>
      <c r="AN43" s="211"/>
      <c r="AO43" s="211"/>
      <c r="AP43" s="211"/>
      <c r="AQ43" s="211"/>
      <c r="AR43" s="211"/>
      <c r="AS43" s="211"/>
      <c r="AT43" s="211"/>
      <c r="AU43" s="211"/>
      <c r="AV43" s="211"/>
      <c r="AW43" s="211"/>
      <c r="AX43" s="211"/>
      <c r="AY43" s="211"/>
      <c r="AZ43" s="211"/>
      <c r="BA43" s="211"/>
      <c r="BB43" s="211"/>
      <c r="BC43" s="211"/>
      <c r="BD43" s="211"/>
      <c r="BE43" s="211"/>
      <c r="BF43" s="211"/>
      <c r="BG43" s="211"/>
      <c r="BH43" s="211"/>
      <c r="BI43" s="211"/>
      <c r="BJ43" s="211"/>
      <c r="BK43" s="211"/>
      <c r="BL43" s="211"/>
      <c r="BM43" s="211"/>
      <c r="BN43" s="211"/>
      <c r="BO43" s="33"/>
      <c r="BP43" s="242">
        <f>COUNTIF(E43:H43,"X")</f>
        <v>0</v>
      </c>
      <c r="BQ43" s="78">
        <f>COUNTIF(E43:H43,"X/2")/2</f>
        <v>0</v>
      </c>
      <c r="BR43" s="273">
        <f t="shared" si="1"/>
        <v>0</v>
      </c>
      <c r="BS43" s="270">
        <v>270000</v>
      </c>
      <c r="BT43" s="53">
        <f t="shared" si="2"/>
        <v>0</v>
      </c>
      <c r="BU43" s="359"/>
    </row>
    <row r="44" spans="1:74" s="55" customFormat="1" ht="19.2" customHeight="1" x14ac:dyDescent="0.3">
      <c r="A44" s="294">
        <f t="shared" si="3"/>
        <v>40</v>
      </c>
      <c r="B44" s="159" t="s">
        <v>235</v>
      </c>
      <c r="C44" s="159"/>
      <c r="D44" s="206" t="s">
        <v>4</v>
      </c>
      <c r="E44" s="127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 t="s">
        <v>9</v>
      </c>
      <c r="AS44" s="211" t="s">
        <v>9</v>
      </c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33"/>
      <c r="BP44" s="242">
        <f>COUNTIF(E44:BO44,"X")</f>
        <v>2</v>
      </c>
      <c r="BQ44" s="78">
        <f>COUNTIF(E44:H44,"X/2")/2</f>
        <v>0</v>
      </c>
      <c r="BR44" s="273">
        <f t="shared" si="1"/>
        <v>2</v>
      </c>
      <c r="BS44" s="270">
        <v>370000</v>
      </c>
      <c r="BT44" s="53">
        <f>BR44*BS44</f>
        <v>740000</v>
      </c>
      <c r="BU44" s="362"/>
      <c r="BV44" s="295"/>
    </row>
    <row r="45" spans="1:74" s="31" customFormat="1" x14ac:dyDescent="0.3">
      <c r="A45" s="61">
        <f t="shared" si="3"/>
        <v>41</v>
      </c>
      <c r="B45" s="116" t="s">
        <v>237</v>
      </c>
      <c r="C45" s="116"/>
      <c r="D45" s="205" t="s">
        <v>5</v>
      </c>
      <c r="E45" s="127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 t="s">
        <v>9</v>
      </c>
      <c r="AS45" s="211" t="s">
        <v>9</v>
      </c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33"/>
      <c r="BP45" s="242">
        <f>COUNTIF(E45:BO45,"X")</f>
        <v>2</v>
      </c>
      <c r="BQ45" s="78">
        <f>COUNTIF(E45:H45,"X/2")/2</f>
        <v>0</v>
      </c>
      <c r="BR45" s="273">
        <f t="shared" si="1"/>
        <v>2</v>
      </c>
      <c r="BS45" s="270">
        <v>270000</v>
      </c>
      <c r="BT45" s="53">
        <f t="shared" si="2"/>
        <v>540000</v>
      </c>
      <c r="BU45" s="359"/>
    </row>
    <row r="46" spans="1:74" s="31" customFormat="1" x14ac:dyDescent="0.3">
      <c r="A46" s="61">
        <f t="shared" si="3"/>
        <v>42</v>
      </c>
      <c r="B46" s="116" t="s">
        <v>238</v>
      </c>
      <c r="C46" s="116"/>
      <c r="D46" s="205" t="s">
        <v>5</v>
      </c>
      <c r="E46" s="127"/>
      <c r="F46" s="32"/>
      <c r="G46" s="32"/>
      <c r="H46" s="32"/>
      <c r="I46" s="32"/>
      <c r="J46" s="32"/>
      <c r="K46" s="32"/>
      <c r="L46" s="32"/>
      <c r="M46" s="280"/>
      <c r="N46" s="32"/>
      <c r="O46" s="32"/>
      <c r="P46" s="32"/>
      <c r="Q46" s="32"/>
      <c r="R46" s="211"/>
      <c r="S46" s="211"/>
      <c r="T46" s="211"/>
      <c r="U46" s="211"/>
      <c r="V46" s="211"/>
      <c r="W46" s="211"/>
      <c r="X46" s="211"/>
      <c r="Y46" s="211"/>
      <c r="Z46" s="211"/>
      <c r="AA46" s="211"/>
      <c r="AB46" s="211"/>
      <c r="AC46" s="211"/>
      <c r="AD46" s="211"/>
      <c r="AE46" s="211"/>
      <c r="AF46" s="211"/>
      <c r="AG46" s="211"/>
      <c r="AH46" s="211"/>
      <c r="AI46" s="211"/>
      <c r="AJ46" s="211"/>
      <c r="AK46" s="211"/>
      <c r="AL46" s="211"/>
      <c r="AM46" s="211"/>
      <c r="AN46" s="211"/>
      <c r="AO46" s="211"/>
      <c r="AP46" s="211"/>
      <c r="AQ46" s="211"/>
      <c r="AR46" s="211"/>
      <c r="AS46" s="211"/>
      <c r="AT46" s="211"/>
      <c r="AU46" s="211"/>
      <c r="AV46" s="211"/>
      <c r="AW46" s="211"/>
      <c r="AX46" s="211"/>
      <c r="AY46" s="211"/>
      <c r="AZ46" s="211"/>
      <c r="BA46" s="211"/>
      <c r="BB46" s="211"/>
      <c r="BC46" s="211"/>
      <c r="BD46" s="211"/>
      <c r="BE46" s="211"/>
      <c r="BF46" s="211"/>
      <c r="BG46" s="211"/>
      <c r="BH46" s="211"/>
      <c r="BI46" s="211"/>
      <c r="BJ46" s="211"/>
      <c r="BK46" s="211"/>
      <c r="BL46" s="211"/>
      <c r="BM46" s="211"/>
      <c r="BN46" s="211"/>
      <c r="BO46" s="33"/>
      <c r="BP46" s="242">
        <f>COUNTIF(E46:H46,"X")</f>
        <v>0</v>
      </c>
      <c r="BQ46" s="78">
        <f>COUNTIF(E46:H46,"X/2")/2</f>
        <v>0</v>
      </c>
      <c r="BR46" s="273">
        <f t="shared" si="1"/>
        <v>0</v>
      </c>
      <c r="BS46" s="270">
        <v>270000</v>
      </c>
      <c r="BT46" s="53">
        <f t="shared" si="2"/>
        <v>0</v>
      </c>
      <c r="BU46" s="359"/>
    </row>
    <row r="47" spans="1:74" s="31" customFormat="1" x14ac:dyDescent="0.3">
      <c r="A47" s="61">
        <f t="shared" si="3"/>
        <v>43</v>
      </c>
      <c r="B47" s="48" t="s">
        <v>239</v>
      </c>
      <c r="C47" s="48"/>
      <c r="D47" s="204" t="s">
        <v>5</v>
      </c>
      <c r="E47" s="41"/>
      <c r="F47" s="21"/>
      <c r="G47" s="21"/>
      <c r="H47" s="21"/>
      <c r="I47" s="21"/>
      <c r="J47" s="21"/>
      <c r="K47" s="21"/>
      <c r="L47" s="21"/>
      <c r="M47" s="146"/>
      <c r="N47" s="21"/>
      <c r="O47" s="21"/>
      <c r="P47" s="21"/>
      <c r="Q47" s="21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  <c r="AF47" s="210"/>
      <c r="AG47" s="210"/>
      <c r="AH47" s="210"/>
      <c r="AI47" s="210"/>
      <c r="AJ47" s="210"/>
      <c r="AK47" s="210"/>
      <c r="AL47" s="210"/>
      <c r="AM47" s="210"/>
      <c r="AN47" s="210"/>
      <c r="AO47" s="210"/>
      <c r="AP47" s="210"/>
      <c r="AQ47" s="210"/>
      <c r="AR47" s="210"/>
      <c r="AS47" s="210"/>
      <c r="AT47" s="210"/>
      <c r="AU47" s="210"/>
      <c r="AV47" s="210"/>
      <c r="AW47" s="210"/>
      <c r="AX47" s="210"/>
      <c r="AY47" s="210"/>
      <c r="AZ47" s="210"/>
      <c r="BA47" s="210"/>
      <c r="BB47" s="210"/>
      <c r="BC47" s="210"/>
      <c r="BD47" s="210"/>
      <c r="BE47" s="210"/>
      <c r="BF47" s="210"/>
      <c r="BG47" s="210"/>
      <c r="BH47" s="210"/>
      <c r="BI47" s="210"/>
      <c r="BJ47" s="210"/>
      <c r="BK47" s="210"/>
      <c r="BL47" s="210"/>
      <c r="BM47" s="210"/>
      <c r="BN47" s="210"/>
      <c r="BO47" s="25"/>
      <c r="BP47" s="242">
        <f>COUNTIF(E47:H47,"X")</f>
        <v>0</v>
      </c>
      <c r="BQ47" s="78">
        <f>COUNTIF(E47:H47,"X/2")/2</f>
        <v>0</v>
      </c>
      <c r="BR47" s="273">
        <f t="shared" si="1"/>
        <v>0</v>
      </c>
      <c r="BS47" s="270">
        <v>270000</v>
      </c>
      <c r="BT47" s="53">
        <f t="shared" si="2"/>
        <v>0</v>
      </c>
      <c r="BU47" s="359"/>
    </row>
    <row r="48" spans="1:74" s="55" customFormat="1" ht="19.2" customHeight="1" x14ac:dyDescent="0.3">
      <c r="A48" s="294">
        <f t="shared" si="3"/>
        <v>44</v>
      </c>
      <c r="B48" s="159" t="s">
        <v>240</v>
      </c>
      <c r="C48" s="159"/>
      <c r="D48" s="206" t="s">
        <v>4</v>
      </c>
      <c r="E48" s="127"/>
      <c r="F48" s="32"/>
      <c r="G48" s="32"/>
      <c r="H48" s="32"/>
      <c r="I48" s="32"/>
      <c r="J48" s="32"/>
      <c r="K48" s="32"/>
      <c r="L48" s="32"/>
      <c r="M48" s="280"/>
      <c r="N48" s="32"/>
      <c r="O48" s="32"/>
      <c r="P48" s="32"/>
      <c r="Q48" s="32"/>
      <c r="R48" s="211"/>
      <c r="S48" s="211"/>
      <c r="T48" s="211"/>
      <c r="U48" s="211"/>
      <c r="V48" s="211"/>
      <c r="W48" s="211"/>
      <c r="X48" s="211"/>
      <c r="Y48" s="211"/>
      <c r="Z48" s="211"/>
      <c r="AA48" s="211"/>
      <c r="AB48" s="211"/>
      <c r="AC48" s="211"/>
      <c r="AD48" s="211"/>
      <c r="AE48" s="211"/>
      <c r="AF48" s="211"/>
      <c r="AG48" s="211"/>
      <c r="AH48" s="211"/>
      <c r="AI48" s="211"/>
      <c r="AJ48" s="211"/>
      <c r="AK48" s="211"/>
      <c r="AL48" s="211"/>
      <c r="AM48" s="211"/>
      <c r="AN48" s="211"/>
      <c r="AO48" s="211"/>
      <c r="AP48" s="211"/>
      <c r="AQ48" s="211"/>
      <c r="AR48" s="211"/>
      <c r="AS48" s="211"/>
      <c r="AT48" s="211"/>
      <c r="AU48" s="211"/>
      <c r="AV48" s="211"/>
      <c r="AW48" s="211"/>
      <c r="AX48" s="211"/>
      <c r="AY48" s="211"/>
      <c r="AZ48" s="211"/>
      <c r="BA48" s="211"/>
      <c r="BB48" s="211"/>
      <c r="BC48" s="211"/>
      <c r="BD48" s="211"/>
      <c r="BE48" s="211"/>
      <c r="BF48" s="211"/>
      <c r="BG48" s="211"/>
      <c r="BH48" s="211"/>
      <c r="BI48" s="211"/>
      <c r="BJ48" s="211"/>
      <c r="BK48" s="211"/>
      <c r="BL48" s="211"/>
      <c r="BM48" s="211"/>
      <c r="BN48" s="211"/>
      <c r="BO48" s="33"/>
      <c r="BP48" s="242">
        <f>COUNTIF(E48:H48,"X")</f>
        <v>0</v>
      </c>
      <c r="BQ48" s="78">
        <f>COUNTIF(E48:H48,"X/2")/2</f>
        <v>0</v>
      </c>
      <c r="BR48" s="273">
        <f t="shared" si="1"/>
        <v>0</v>
      </c>
      <c r="BS48" s="270">
        <v>370000</v>
      </c>
      <c r="BT48" s="53">
        <f>BR48*BS48</f>
        <v>0</v>
      </c>
      <c r="BU48" s="362"/>
      <c r="BV48" s="295"/>
    </row>
    <row r="49" spans="1:74" s="31" customFormat="1" x14ac:dyDescent="0.3">
      <c r="A49" s="61">
        <f t="shared" si="3"/>
        <v>45</v>
      </c>
      <c r="B49" s="116" t="s">
        <v>241</v>
      </c>
      <c r="C49" s="116"/>
      <c r="D49" s="205" t="s">
        <v>4</v>
      </c>
      <c r="E49" s="127"/>
      <c r="F49" s="32"/>
      <c r="G49" s="32"/>
      <c r="H49" s="32"/>
      <c r="I49" s="32"/>
      <c r="J49" s="32"/>
      <c r="K49" s="32"/>
      <c r="L49" s="32"/>
      <c r="M49" s="280"/>
      <c r="N49" s="32"/>
      <c r="O49" s="32"/>
      <c r="P49" s="32"/>
      <c r="Q49" s="32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33"/>
      <c r="BP49" s="242">
        <f>COUNTIF(E49:H49,"X")</f>
        <v>0</v>
      </c>
      <c r="BQ49" s="78">
        <f>COUNTIF(E49:H49,"X/2")/2</f>
        <v>0</v>
      </c>
      <c r="BR49" s="273">
        <f t="shared" si="1"/>
        <v>0</v>
      </c>
      <c r="BS49" s="270">
        <v>360000</v>
      </c>
      <c r="BT49" s="53">
        <f t="shared" si="2"/>
        <v>0</v>
      </c>
      <c r="BU49" s="359"/>
    </row>
    <row r="50" spans="1:74" s="31" customFormat="1" x14ac:dyDescent="0.3">
      <c r="A50" s="61">
        <f t="shared" si="3"/>
        <v>46</v>
      </c>
      <c r="B50" s="116" t="s">
        <v>242</v>
      </c>
      <c r="C50" s="116"/>
      <c r="D50" s="205" t="s">
        <v>5</v>
      </c>
      <c r="E50" s="127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211"/>
      <c r="S50" s="211"/>
      <c r="T50" s="211"/>
      <c r="U50" s="211"/>
      <c r="V50" s="211"/>
      <c r="W50" s="211"/>
      <c r="X50" s="211"/>
      <c r="Y50" s="211"/>
      <c r="Z50" s="211"/>
      <c r="AA50" s="211"/>
      <c r="AB50" s="211"/>
      <c r="AC50" s="211"/>
      <c r="AD50" s="211"/>
      <c r="AE50" s="211"/>
      <c r="AF50" s="211"/>
      <c r="AG50" s="211"/>
      <c r="AH50" s="211"/>
      <c r="AI50" s="211"/>
      <c r="AJ50" s="211"/>
      <c r="AK50" s="211"/>
      <c r="AL50" s="211"/>
      <c r="AM50" s="211"/>
      <c r="AN50" s="211"/>
      <c r="AO50" s="211"/>
      <c r="AP50" s="211"/>
      <c r="AQ50" s="211"/>
      <c r="AR50" s="211" t="s">
        <v>9</v>
      </c>
      <c r="AS50" s="211"/>
      <c r="AT50" s="211"/>
      <c r="AU50" s="211"/>
      <c r="AV50" s="211"/>
      <c r="AW50" s="211"/>
      <c r="AX50" s="211"/>
      <c r="AY50" s="211"/>
      <c r="AZ50" s="211"/>
      <c r="BA50" s="211"/>
      <c r="BB50" s="211"/>
      <c r="BC50" s="211"/>
      <c r="BD50" s="211"/>
      <c r="BE50" s="211"/>
      <c r="BF50" s="211"/>
      <c r="BG50" s="211"/>
      <c r="BH50" s="211"/>
      <c r="BI50" s="211"/>
      <c r="BJ50" s="211"/>
      <c r="BK50" s="211"/>
      <c r="BL50" s="211"/>
      <c r="BM50" s="211"/>
      <c r="BN50" s="211"/>
      <c r="BO50" s="33"/>
      <c r="BP50" s="242">
        <f>COUNTIF(E50:BO50,"X")</f>
        <v>1</v>
      </c>
      <c r="BQ50" s="78">
        <f>COUNTIF(E50:H50,"X/2")/2</f>
        <v>0</v>
      </c>
      <c r="BR50" s="273">
        <f t="shared" si="1"/>
        <v>1</v>
      </c>
      <c r="BS50" s="270">
        <v>270000</v>
      </c>
      <c r="BT50" s="53">
        <f t="shared" si="2"/>
        <v>270000</v>
      </c>
      <c r="BU50" s="359"/>
    </row>
    <row r="51" spans="1:74" s="31" customFormat="1" x14ac:dyDescent="0.3">
      <c r="A51" s="61">
        <f t="shared" si="3"/>
        <v>47</v>
      </c>
      <c r="B51" s="48" t="s">
        <v>243</v>
      </c>
      <c r="C51" s="48"/>
      <c r="D51" s="204" t="s">
        <v>5</v>
      </c>
      <c r="E51" s="41"/>
      <c r="F51" s="32"/>
      <c r="G51" s="32"/>
      <c r="H51" s="32"/>
      <c r="I51" s="32"/>
      <c r="J51" s="32"/>
      <c r="K51" s="32"/>
      <c r="L51" s="32"/>
      <c r="M51" s="280"/>
      <c r="N51" s="32"/>
      <c r="O51" s="32"/>
      <c r="P51" s="32"/>
      <c r="Q51" s="32"/>
      <c r="R51" s="211"/>
      <c r="S51" s="211"/>
      <c r="T51" s="211"/>
      <c r="U51" s="211"/>
      <c r="V51" s="211"/>
      <c r="W51" s="211"/>
      <c r="X51" s="211"/>
      <c r="Y51" s="211"/>
      <c r="Z51" s="211"/>
      <c r="AA51" s="211"/>
      <c r="AB51" s="211"/>
      <c r="AC51" s="211"/>
      <c r="AD51" s="211"/>
      <c r="AE51" s="211"/>
      <c r="AF51" s="211"/>
      <c r="AG51" s="211"/>
      <c r="AH51" s="211"/>
      <c r="AI51" s="211"/>
      <c r="AJ51" s="211"/>
      <c r="AK51" s="211"/>
      <c r="AL51" s="211"/>
      <c r="AM51" s="211"/>
      <c r="AN51" s="211"/>
      <c r="AO51" s="211"/>
      <c r="AP51" s="211"/>
      <c r="AQ51" s="211"/>
      <c r="AR51" s="211"/>
      <c r="AS51" s="211"/>
      <c r="AT51" s="211"/>
      <c r="AU51" s="211"/>
      <c r="AV51" s="211"/>
      <c r="AW51" s="211"/>
      <c r="AX51" s="211"/>
      <c r="AY51" s="211"/>
      <c r="AZ51" s="211"/>
      <c r="BA51" s="211"/>
      <c r="BB51" s="211"/>
      <c r="BC51" s="211"/>
      <c r="BD51" s="211"/>
      <c r="BE51" s="211"/>
      <c r="BF51" s="211"/>
      <c r="BG51" s="211"/>
      <c r="BH51" s="211"/>
      <c r="BI51" s="211"/>
      <c r="BJ51" s="211"/>
      <c r="BK51" s="211"/>
      <c r="BL51" s="211"/>
      <c r="BM51" s="211"/>
      <c r="BN51" s="211"/>
      <c r="BO51" s="33"/>
      <c r="BP51" s="242">
        <f>COUNTIF(E51:H51,"X")</f>
        <v>0</v>
      </c>
      <c r="BQ51" s="78">
        <f>COUNTIF(E51:H51,"X/2")/2</f>
        <v>0</v>
      </c>
      <c r="BR51" s="273">
        <f t="shared" si="1"/>
        <v>0</v>
      </c>
      <c r="BS51" s="270">
        <v>270000</v>
      </c>
      <c r="BT51" s="53">
        <f t="shared" si="2"/>
        <v>0</v>
      </c>
      <c r="BU51" s="359"/>
    </row>
    <row r="52" spans="1:74" s="31" customFormat="1" x14ac:dyDescent="0.3">
      <c r="A52" s="61">
        <f t="shared" si="3"/>
        <v>48</v>
      </c>
      <c r="B52" s="116" t="s">
        <v>287</v>
      </c>
      <c r="C52" s="116"/>
      <c r="D52" s="205" t="s">
        <v>4</v>
      </c>
      <c r="E52" s="127"/>
      <c r="F52" s="32"/>
      <c r="G52" s="32"/>
      <c r="H52" s="32"/>
      <c r="I52" s="32"/>
      <c r="J52" s="32"/>
      <c r="K52" s="32"/>
      <c r="L52" s="32"/>
      <c r="M52" s="280"/>
      <c r="N52" s="32"/>
      <c r="O52" s="32"/>
      <c r="P52" s="32"/>
      <c r="Q52" s="32"/>
      <c r="R52" s="211"/>
      <c r="S52" s="211"/>
      <c r="T52" s="211"/>
      <c r="U52" s="211"/>
      <c r="V52" s="211"/>
      <c r="W52" s="211"/>
      <c r="X52" s="211"/>
      <c r="Y52" s="211"/>
      <c r="Z52" s="211"/>
      <c r="AA52" s="211"/>
      <c r="AB52" s="211"/>
      <c r="AC52" s="211"/>
      <c r="AD52" s="211"/>
      <c r="AE52" s="211"/>
      <c r="AF52" s="211"/>
      <c r="AG52" s="211"/>
      <c r="AH52" s="211"/>
      <c r="AI52" s="211"/>
      <c r="AJ52" s="211"/>
      <c r="AK52" s="211"/>
      <c r="AL52" s="211"/>
      <c r="AM52" s="211"/>
      <c r="AN52" s="211"/>
      <c r="AO52" s="211"/>
      <c r="AP52" s="211"/>
      <c r="AQ52" s="211"/>
      <c r="AR52" s="211"/>
      <c r="AS52" s="211"/>
      <c r="AT52" s="211"/>
      <c r="AU52" s="211"/>
      <c r="AV52" s="211"/>
      <c r="AW52" s="211"/>
      <c r="AX52" s="211"/>
      <c r="AY52" s="211"/>
      <c r="AZ52" s="211"/>
      <c r="BA52" s="211"/>
      <c r="BB52" s="211"/>
      <c r="BC52" s="211"/>
      <c r="BD52" s="211"/>
      <c r="BE52" s="211"/>
      <c r="BF52" s="211"/>
      <c r="BG52" s="211"/>
      <c r="BH52" s="211"/>
      <c r="BI52" s="211"/>
      <c r="BJ52" s="211"/>
      <c r="BK52" s="211"/>
      <c r="BL52" s="211"/>
      <c r="BM52" s="211"/>
      <c r="BN52" s="211"/>
      <c r="BO52" s="33"/>
      <c r="BP52" s="242">
        <f>COUNTIF(E52:H52,"X")</f>
        <v>0</v>
      </c>
      <c r="BQ52" s="78">
        <f>COUNTIF(E52:H52,"X/2")/2</f>
        <v>0</v>
      </c>
      <c r="BR52" s="273">
        <f t="shared" si="1"/>
        <v>0</v>
      </c>
      <c r="BS52" s="270">
        <v>360000</v>
      </c>
      <c r="BT52" s="53">
        <f t="shared" si="2"/>
        <v>0</v>
      </c>
      <c r="BU52" s="359"/>
    </row>
    <row r="53" spans="1:74" s="31" customFormat="1" x14ac:dyDescent="0.3">
      <c r="A53" s="61">
        <f t="shared" si="3"/>
        <v>49</v>
      </c>
      <c r="B53" s="116" t="s">
        <v>289</v>
      </c>
      <c r="C53" s="116"/>
      <c r="D53" s="205" t="s">
        <v>4</v>
      </c>
      <c r="E53" s="127"/>
      <c r="F53" s="32"/>
      <c r="G53" s="32"/>
      <c r="H53" s="32"/>
      <c r="I53" s="32"/>
      <c r="J53" s="32"/>
      <c r="K53" s="32"/>
      <c r="L53" s="32"/>
      <c r="M53" s="280"/>
      <c r="N53" s="32"/>
      <c r="O53" s="32"/>
      <c r="P53" s="32"/>
      <c r="Q53" s="32"/>
      <c r="R53" s="211"/>
      <c r="S53" s="211"/>
      <c r="T53" s="211"/>
      <c r="U53" s="211"/>
      <c r="V53" s="211"/>
      <c r="W53" s="211"/>
      <c r="X53" s="211"/>
      <c r="Y53" s="211"/>
      <c r="Z53" s="211"/>
      <c r="AA53" s="211"/>
      <c r="AB53" s="211"/>
      <c r="AC53" s="211"/>
      <c r="AD53" s="211"/>
      <c r="AE53" s="211"/>
      <c r="AF53" s="211"/>
      <c r="AG53" s="211"/>
      <c r="AH53" s="211"/>
      <c r="AI53" s="211"/>
      <c r="AJ53" s="211"/>
      <c r="AK53" s="211"/>
      <c r="AL53" s="211"/>
      <c r="AM53" s="211"/>
      <c r="AN53" s="211"/>
      <c r="AO53" s="211"/>
      <c r="AP53" s="211"/>
      <c r="AQ53" s="211"/>
      <c r="AR53" s="211"/>
      <c r="AS53" s="211"/>
      <c r="AT53" s="211"/>
      <c r="AU53" s="211"/>
      <c r="AV53" s="211"/>
      <c r="AW53" s="211"/>
      <c r="AX53" s="211"/>
      <c r="AY53" s="211"/>
      <c r="AZ53" s="211"/>
      <c r="BA53" s="211"/>
      <c r="BB53" s="211"/>
      <c r="BC53" s="211"/>
      <c r="BD53" s="211"/>
      <c r="BE53" s="211"/>
      <c r="BF53" s="211"/>
      <c r="BG53" s="211"/>
      <c r="BH53" s="211"/>
      <c r="BI53" s="211"/>
      <c r="BJ53" s="211"/>
      <c r="BK53" s="211"/>
      <c r="BL53" s="211"/>
      <c r="BM53" s="211"/>
      <c r="BN53" s="211"/>
      <c r="BO53" s="33"/>
      <c r="BP53" s="242">
        <f>COUNTIF(E53:H53,"X")</f>
        <v>0</v>
      </c>
      <c r="BQ53" s="78">
        <f>COUNTIF(E53:H53,"X/2")/2</f>
        <v>0</v>
      </c>
      <c r="BR53" s="273">
        <f t="shared" si="1"/>
        <v>0</v>
      </c>
      <c r="BS53" s="270">
        <v>360000</v>
      </c>
      <c r="BT53" s="53">
        <f t="shared" si="2"/>
        <v>0</v>
      </c>
      <c r="BU53" s="359"/>
    </row>
    <row r="54" spans="1:74" s="31" customFormat="1" x14ac:dyDescent="0.3">
      <c r="A54" s="61">
        <f t="shared" si="3"/>
        <v>50</v>
      </c>
      <c r="B54" s="116" t="s">
        <v>290</v>
      </c>
      <c r="C54" s="116"/>
      <c r="D54" s="205" t="s">
        <v>5</v>
      </c>
      <c r="E54" s="127"/>
      <c r="F54" s="32"/>
      <c r="G54" s="32"/>
      <c r="H54" s="32"/>
      <c r="I54" s="32"/>
      <c r="J54" s="32"/>
      <c r="K54" s="32"/>
      <c r="L54" s="32"/>
      <c r="M54" s="280"/>
      <c r="N54" s="32"/>
      <c r="O54" s="32"/>
      <c r="P54" s="32"/>
      <c r="Q54" s="32"/>
      <c r="R54" s="211"/>
      <c r="S54" s="211"/>
      <c r="T54" s="211"/>
      <c r="U54" s="211"/>
      <c r="V54" s="211"/>
      <c r="W54" s="211"/>
      <c r="X54" s="211"/>
      <c r="Y54" s="211"/>
      <c r="Z54" s="211"/>
      <c r="AA54" s="211"/>
      <c r="AB54" s="211"/>
      <c r="AC54" s="211"/>
      <c r="AD54" s="211"/>
      <c r="AE54" s="211"/>
      <c r="AF54" s="211"/>
      <c r="AG54" s="211"/>
      <c r="AH54" s="211"/>
      <c r="AI54" s="211"/>
      <c r="AJ54" s="211"/>
      <c r="AK54" s="211"/>
      <c r="AL54" s="211"/>
      <c r="AM54" s="211"/>
      <c r="AN54" s="211"/>
      <c r="AO54" s="211"/>
      <c r="AP54" s="211"/>
      <c r="AQ54" s="211"/>
      <c r="AR54" s="211"/>
      <c r="AS54" s="211"/>
      <c r="AT54" s="211"/>
      <c r="AU54" s="211"/>
      <c r="AV54" s="211"/>
      <c r="AW54" s="211"/>
      <c r="AX54" s="211"/>
      <c r="AY54" s="211"/>
      <c r="AZ54" s="211"/>
      <c r="BA54" s="211"/>
      <c r="BB54" s="211"/>
      <c r="BC54" s="211"/>
      <c r="BD54" s="211"/>
      <c r="BE54" s="211"/>
      <c r="BF54" s="211"/>
      <c r="BG54" s="211"/>
      <c r="BH54" s="211"/>
      <c r="BI54" s="211"/>
      <c r="BJ54" s="211"/>
      <c r="BK54" s="211"/>
      <c r="BL54" s="211"/>
      <c r="BM54" s="211"/>
      <c r="BN54" s="211"/>
      <c r="BO54" s="33"/>
      <c r="BP54" s="242">
        <f>COUNTIF(E54:H54,"X")</f>
        <v>0</v>
      </c>
      <c r="BQ54" s="78">
        <f>COUNTIF(E54:H54,"X/2")/2</f>
        <v>0</v>
      </c>
      <c r="BR54" s="273">
        <f t="shared" si="1"/>
        <v>0</v>
      </c>
      <c r="BS54" s="270">
        <v>270000</v>
      </c>
      <c r="BT54" s="53">
        <f t="shared" si="2"/>
        <v>0</v>
      </c>
      <c r="BU54" s="359"/>
    </row>
    <row r="55" spans="1:74" s="55" customFormat="1" x14ac:dyDescent="0.3">
      <c r="A55" s="294">
        <f t="shared" si="3"/>
        <v>51</v>
      </c>
      <c r="B55" s="159" t="s">
        <v>288</v>
      </c>
      <c r="C55" s="159"/>
      <c r="D55" s="206" t="s">
        <v>5</v>
      </c>
      <c r="E55" s="127"/>
      <c r="F55" s="32"/>
      <c r="G55" s="32"/>
      <c r="H55" s="32"/>
      <c r="I55" s="32"/>
      <c r="J55" s="32"/>
      <c r="K55" s="32"/>
      <c r="L55" s="32"/>
      <c r="M55" s="280"/>
      <c r="N55" s="32"/>
      <c r="O55" s="32"/>
      <c r="P55" s="32"/>
      <c r="Q55" s="32"/>
      <c r="R55" s="211"/>
      <c r="S55" s="211"/>
      <c r="T55" s="211"/>
      <c r="U55" s="211"/>
      <c r="V55" s="211"/>
      <c r="W55" s="211"/>
      <c r="X55" s="211"/>
      <c r="Y55" s="211"/>
      <c r="Z55" s="211"/>
      <c r="AA55" s="211"/>
      <c r="AB55" s="211"/>
      <c r="AC55" s="211"/>
      <c r="AD55" s="211"/>
      <c r="AE55" s="211"/>
      <c r="AF55" s="211"/>
      <c r="AG55" s="211"/>
      <c r="AH55" s="211"/>
      <c r="AI55" s="211"/>
      <c r="AJ55" s="211"/>
      <c r="AK55" s="211"/>
      <c r="AL55" s="211"/>
      <c r="AM55" s="211"/>
      <c r="AN55" s="211"/>
      <c r="AO55" s="211"/>
      <c r="AP55" s="211"/>
      <c r="AQ55" s="211"/>
      <c r="AR55" s="211"/>
      <c r="AS55" s="211"/>
      <c r="AT55" s="211"/>
      <c r="AU55" s="211"/>
      <c r="AV55" s="211"/>
      <c r="AW55" s="211"/>
      <c r="AX55" s="211"/>
      <c r="AY55" s="211"/>
      <c r="AZ55" s="211"/>
      <c r="BA55" s="211"/>
      <c r="BB55" s="211"/>
      <c r="BC55" s="211"/>
      <c r="BD55" s="211"/>
      <c r="BE55" s="211"/>
      <c r="BF55" s="211"/>
      <c r="BG55" s="211"/>
      <c r="BH55" s="211"/>
      <c r="BI55" s="211"/>
      <c r="BJ55" s="211"/>
      <c r="BK55" s="211"/>
      <c r="BL55" s="211"/>
      <c r="BM55" s="211"/>
      <c r="BN55" s="211"/>
      <c r="BO55" s="33"/>
      <c r="BP55" s="242">
        <f>COUNTIF(E55:H55,"X")</f>
        <v>0</v>
      </c>
      <c r="BQ55" s="78">
        <f>COUNTIF(E55:H55,"X/2")/2</f>
        <v>0</v>
      </c>
      <c r="BR55" s="273">
        <f t="shared" si="1"/>
        <v>0</v>
      </c>
      <c r="BS55" s="270">
        <v>270000</v>
      </c>
      <c r="BT55" s="53">
        <f t="shared" si="2"/>
        <v>0</v>
      </c>
      <c r="BU55" s="362"/>
    </row>
    <row r="56" spans="1:74" s="31" customFormat="1" x14ac:dyDescent="0.3">
      <c r="A56" s="61">
        <f t="shared" si="3"/>
        <v>52</v>
      </c>
      <c r="B56" s="116" t="s">
        <v>291</v>
      </c>
      <c r="C56" s="116"/>
      <c r="D56" s="205" t="s">
        <v>5</v>
      </c>
      <c r="E56" s="127"/>
      <c r="F56" s="32"/>
      <c r="G56" s="32"/>
      <c r="H56" s="32"/>
      <c r="I56" s="32"/>
      <c r="J56" s="32"/>
      <c r="K56" s="32"/>
      <c r="L56" s="32"/>
      <c r="M56" s="280"/>
      <c r="N56" s="32"/>
      <c r="O56" s="32"/>
      <c r="P56" s="32"/>
      <c r="Q56" s="32"/>
      <c r="R56" s="211"/>
      <c r="S56" s="211"/>
      <c r="T56" s="211"/>
      <c r="U56" s="211"/>
      <c r="V56" s="211"/>
      <c r="W56" s="211"/>
      <c r="X56" s="211"/>
      <c r="Y56" s="211"/>
      <c r="Z56" s="211"/>
      <c r="AA56" s="211"/>
      <c r="AB56" s="211"/>
      <c r="AC56" s="211"/>
      <c r="AD56" s="211"/>
      <c r="AE56" s="211"/>
      <c r="AF56" s="211"/>
      <c r="AG56" s="211"/>
      <c r="AH56" s="211"/>
      <c r="AI56" s="211"/>
      <c r="AJ56" s="211"/>
      <c r="AK56" s="211"/>
      <c r="AL56" s="211"/>
      <c r="AM56" s="211"/>
      <c r="AN56" s="211"/>
      <c r="AO56" s="211"/>
      <c r="AP56" s="211"/>
      <c r="AQ56" s="211"/>
      <c r="AR56" s="211"/>
      <c r="AS56" s="211"/>
      <c r="AT56" s="211"/>
      <c r="AU56" s="211"/>
      <c r="AV56" s="211"/>
      <c r="AW56" s="211"/>
      <c r="AX56" s="211"/>
      <c r="AY56" s="211"/>
      <c r="AZ56" s="211"/>
      <c r="BA56" s="211"/>
      <c r="BB56" s="211"/>
      <c r="BC56" s="211"/>
      <c r="BD56" s="211"/>
      <c r="BE56" s="211"/>
      <c r="BF56" s="211"/>
      <c r="BG56" s="211"/>
      <c r="BH56" s="211"/>
      <c r="BI56" s="211"/>
      <c r="BJ56" s="211"/>
      <c r="BK56" s="211"/>
      <c r="BL56" s="211"/>
      <c r="BM56" s="211"/>
      <c r="BN56" s="211"/>
      <c r="BO56" s="33"/>
      <c r="BP56" s="242">
        <f>COUNTIF(E56:H56,"X")</f>
        <v>0</v>
      </c>
      <c r="BQ56" s="78">
        <f>COUNTIF(E56:H56,"X/2")/2</f>
        <v>0</v>
      </c>
      <c r="BR56" s="273">
        <f t="shared" si="1"/>
        <v>0</v>
      </c>
      <c r="BS56" s="270">
        <v>270000</v>
      </c>
      <c r="BT56" s="53">
        <f>BR56*BS56</f>
        <v>0</v>
      </c>
      <c r="BU56" s="359"/>
    </row>
    <row r="57" spans="1:74" s="55" customFormat="1" ht="19.2" customHeight="1" x14ac:dyDescent="0.3">
      <c r="A57" s="294">
        <f t="shared" si="3"/>
        <v>53</v>
      </c>
      <c r="B57" s="159" t="s">
        <v>295</v>
      </c>
      <c r="C57" s="159"/>
      <c r="D57" s="206" t="s">
        <v>5</v>
      </c>
      <c r="E57" s="127"/>
      <c r="F57" s="32"/>
      <c r="G57" s="32"/>
      <c r="H57" s="32"/>
      <c r="I57" s="32"/>
      <c r="J57" s="32"/>
      <c r="K57" s="32"/>
      <c r="L57" s="32"/>
      <c r="M57" s="280"/>
      <c r="N57" s="32"/>
      <c r="O57" s="32"/>
      <c r="P57" s="32"/>
      <c r="Q57" s="32"/>
      <c r="R57" s="211"/>
      <c r="S57" s="211"/>
      <c r="T57" s="211"/>
      <c r="U57" s="211"/>
      <c r="V57" s="211"/>
      <c r="W57" s="211"/>
      <c r="X57" s="211"/>
      <c r="Y57" s="211"/>
      <c r="Z57" s="211"/>
      <c r="AA57" s="211"/>
      <c r="AB57" s="211"/>
      <c r="AC57" s="211"/>
      <c r="AD57" s="211"/>
      <c r="AE57" s="211"/>
      <c r="AF57" s="211"/>
      <c r="AG57" s="211"/>
      <c r="AH57" s="211"/>
      <c r="AI57" s="211"/>
      <c r="AJ57" s="211"/>
      <c r="AK57" s="211"/>
      <c r="AL57" s="211"/>
      <c r="AM57" s="211"/>
      <c r="AN57" s="211"/>
      <c r="AO57" s="211"/>
      <c r="AP57" s="211"/>
      <c r="AQ57" s="211"/>
      <c r="AR57" s="211"/>
      <c r="AS57" s="211"/>
      <c r="AT57" s="211"/>
      <c r="AU57" s="211"/>
      <c r="AV57" s="211"/>
      <c r="AW57" s="211"/>
      <c r="AX57" s="211"/>
      <c r="AY57" s="211"/>
      <c r="AZ57" s="211"/>
      <c r="BA57" s="211"/>
      <c r="BB57" s="211"/>
      <c r="BC57" s="211"/>
      <c r="BD57" s="211"/>
      <c r="BE57" s="211"/>
      <c r="BF57" s="211"/>
      <c r="BG57" s="211"/>
      <c r="BH57" s="211"/>
      <c r="BI57" s="211"/>
      <c r="BJ57" s="211"/>
      <c r="BK57" s="211"/>
      <c r="BL57" s="211"/>
      <c r="BM57" s="211"/>
      <c r="BN57" s="211"/>
      <c r="BO57" s="33"/>
      <c r="BP57" s="242">
        <f>COUNTIF(E57:H57,"X")</f>
        <v>0</v>
      </c>
      <c r="BQ57" s="78">
        <f>COUNTIF(E57:H57,"X/2")/2</f>
        <v>0</v>
      </c>
      <c r="BR57" s="273">
        <f t="shared" si="1"/>
        <v>0</v>
      </c>
      <c r="BS57" s="270">
        <v>280000</v>
      </c>
      <c r="BT57" s="53">
        <f>BR57*BS57</f>
        <v>0</v>
      </c>
      <c r="BU57" s="362"/>
      <c r="BV57" s="295"/>
    </row>
    <row r="58" spans="1:74" s="31" customFormat="1" x14ac:dyDescent="0.3">
      <c r="A58" s="61">
        <f t="shared" si="3"/>
        <v>54</v>
      </c>
      <c r="B58" s="116" t="s">
        <v>296</v>
      </c>
      <c r="C58" s="116"/>
      <c r="D58" s="205" t="s">
        <v>5</v>
      </c>
      <c r="E58" s="127"/>
      <c r="F58" s="32"/>
      <c r="G58" s="32"/>
      <c r="H58" s="32"/>
      <c r="I58" s="32"/>
      <c r="J58" s="32"/>
      <c r="K58" s="32"/>
      <c r="L58" s="32"/>
      <c r="M58" s="280"/>
      <c r="N58" s="32"/>
      <c r="O58" s="32"/>
      <c r="P58" s="32"/>
      <c r="Q58" s="32"/>
      <c r="R58" s="211"/>
      <c r="S58" s="211"/>
      <c r="T58" s="211"/>
      <c r="U58" s="211"/>
      <c r="V58" s="211"/>
      <c r="W58" s="211"/>
      <c r="X58" s="211"/>
      <c r="Y58" s="211"/>
      <c r="Z58" s="211"/>
      <c r="AA58" s="211"/>
      <c r="AB58" s="211"/>
      <c r="AC58" s="211"/>
      <c r="AD58" s="211"/>
      <c r="AE58" s="211"/>
      <c r="AF58" s="211"/>
      <c r="AG58" s="211"/>
      <c r="AH58" s="211"/>
      <c r="AI58" s="211"/>
      <c r="AJ58" s="211"/>
      <c r="AK58" s="211"/>
      <c r="AL58" s="211"/>
      <c r="AM58" s="211"/>
      <c r="AN58" s="211"/>
      <c r="AO58" s="211"/>
      <c r="AP58" s="211"/>
      <c r="AQ58" s="211"/>
      <c r="AR58" s="211"/>
      <c r="AS58" s="211"/>
      <c r="AT58" s="211"/>
      <c r="AU58" s="211"/>
      <c r="AV58" s="211"/>
      <c r="AW58" s="211"/>
      <c r="AX58" s="211"/>
      <c r="AY58" s="211"/>
      <c r="AZ58" s="211"/>
      <c r="BA58" s="211"/>
      <c r="BB58" s="211"/>
      <c r="BC58" s="211"/>
      <c r="BD58" s="211"/>
      <c r="BE58" s="211"/>
      <c r="BF58" s="211"/>
      <c r="BG58" s="211"/>
      <c r="BH58" s="211"/>
      <c r="BI58" s="211"/>
      <c r="BJ58" s="211"/>
      <c r="BK58" s="211"/>
      <c r="BL58" s="211"/>
      <c r="BM58" s="211"/>
      <c r="BN58" s="211"/>
      <c r="BO58" s="33"/>
      <c r="BP58" s="242">
        <f>COUNTIF(E58:H58,"X")</f>
        <v>0</v>
      </c>
      <c r="BQ58" s="78">
        <f>COUNTIF(E58:H58,"X/2")/2</f>
        <v>0</v>
      </c>
      <c r="BR58" s="273">
        <f t="shared" si="1"/>
        <v>0</v>
      </c>
      <c r="BS58" s="270">
        <v>270000</v>
      </c>
      <c r="BT58" s="53">
        <f t="shared" si="2"/>
        <v>0</v>
      </c>
      <c r="BU58" s="359"/>
    </row>
    <row r="59" spans="1:74" s="31" customFormat="1" x14ac:dyDescent="0.3">
      <c r="A59" s="61">
        <f t="shared" si="3"/>
        <v>55</v>
      </c>
      <c r="B59" s="116" t="s">
        <v>297</v>
      </c>
      <c r="C59" s="116"/>
      <c r="D59" s="205" t="s">
        <v>4</v>
      </c>
      <c r="E59" s="127"/>
      <c r="F59" s="32"/>
      <c r="G59" s="32"/>
      <c r="H59" s="32"/>
      <c r="I59" s="32"/>
      <c r="J59" s="32"/>
      <c r="K59" s="32"/>
      <c r="L59" s="32"/>
      <c r="M59" s="280"/>
      <c r="N59" s="32"/>
      <c r="O59" s="32"/>
      <c r="P59" s="32"/>
      <c r="Q59" s="32"/>
      <c r="R59" s="211"/>
      <c r="S59" s="211"/>
      <c r="T59" s="211"/>
      <c r="U59" s="211"/>
      <c r="V59" s="211"/>
      <c r="W59" s="211"/>
      <c r="X59" s="211"/>
      <c r="Y59" s="211"/>
      <c r="Z59" s="211"/>
      <c r="AA59" s="211"/>
      <c r="AB59" s="211"/>
      <c r="AC59" s="211"/>
      <c r="AD59" s="211"/>
      <c r="AE59" s="211"/>
      <c r="AF59" s="211"/>
      <c r="AG59" s="211"/>
      <c r="AH59" s="211"/>
      <c r="AI59" s="211"/>
      <c r="AJ59" s="211"/>
      <c r="AK59" s="211"/>
      <c r="AL59" s="211"/>
      <c r="AM59" s="211"/>
      <c r="AN59" s="211"/>
      <c r="AO59" s="211"/>
      <c r="AP59" s="211"/>
      <c r="AQ59" s="211"/>
      <c r="AR59" s="211"/>
      <c r="AS59" s="211"/>
      <c r="AT59" s="211"/>
      <c r="AU59" s="211"/>
      <c r="AV59" s="211"/>
      <c r="AW59" s="211"/>
      <c r="AX59" s="211"/>
      <c r="AY59" s="211"/>
      <c r="AZ59" s="211"/>
      <c r="BA59" s="211"/>
      <c r="BB59" s="211"/>
      <c r="BC59" s="211"/>
      <c r="BD59" s="211"/>
      <c r="BE59" s="211"/>
      <c r="BF59" s="211"/>
      <c r="BG59" s="211"/>
      <c r="BH59" s="211"/>
      <c r="BI59" s="211"/>
      <c r="BJ59" s="211"/>
      <c r="BK59" s="211"/>
      <c r="BL59" s="211"/>
      <c r="BM59" s="211"/>
      <c r="BN59" s="211"/>
      <c r="BO59" s="33"/>
      <c r="BP59" s="242">
        <f>COUNTIF(E59:H59,"X")</f>
        <v>0</v>
      </c>
      <c r="BQ59" s="78">
        <f>COUNTIF(E59:H59,"X/2")/2</f>
        <v>0</v>
      </c>
      <c r="BR59" s="273">
        <f t="shared" si="1"/>
        <v>0</v>
      </c>
      <c r="BS59" s="270">
        <v>360000</v>
      </c>
      <c r="BT59" s="53">
        <f t="shared" si="2"/>
        <v>0</v>
      </c>
      <c r="BU59" s="359"/>
    </row>
    <row r="60" spans="1:74" s="31" customFormat="1" x14ac:dyDescent="0.3">
      <c r="A60" s="61">
        <f t="shared" si="3"/>
        <v>56</v>
      </c>
      <c r="B60" s="116" t="s">
        <v>298</v>
      </c>
      <c r="C60" s="116"/>
      <c r="D60" s="205" t="s">
        <v>5</v>
      </c>
      <c r="E60" s="127"/>
      <c r="F60" s="32"/>
      <c r="G60" s="32"/>
      <c r="H60" s="32"/>
      <c r="I60" s="32"/>
      <c r="J60" s="32"/>
      <c r="K60" s="32"/>
      <c r="L60" s="32"/>
      <c r="M60" s="280"/>
      <c r="N60" s="32"/>
      <c r="O60" s="32"/>
      <c r="P60" s="32"/>
      <c r="Q60" s="32"/>
      <c r="R60" s="211"/>
      <c r="S60" s="211"/>
      <c r="T60" s="211"/>
      <c r="U60" s="211"/>
      <c r="V60" s="211"/>
      <c r="W60" s="211"/>
      <c r="X60" s="211"/>
      <c r="Y60" s="211"/>
      <c r="Z60" s="211"/>
      <c r="AA60" s="211"/>
      <c r="AB60" s="211"/>
      <c r="AC60" s="211"/>
      <c r="AD60" s="211"/>
      <c r="AE60" s="211"/>
      <c r="AF60" s="211"/>
      <c r="AG60" s="211"/>
      <c r="AH60" s="211"/>
      <c r="AI60" s="211"/>
      <c r="AJ60" s="211"/>
      <c r="AK60" s="211"/>
      <c r="AL60" s="211"/>
      <c r="AM60" s="211"/>
      <c r="AN60" s="211"/>
      <c r="AO60" s="211"/>
      <c r="AP60" s="211"/>
      <c r="AQ60" s="211"/>
      <c r="AR60" s="211"/>
      <c r="AS60" s="211"/>
      <c r="AT60" s="211"/>
      <c r="AU60" s="211"/>
      <c r="AV60" s="211"/>
      <c r="AW60" s="211"/>
      <c r="AX60" s="211"/>
      <c r="AY60" s="211"/>
      <c r="AZ60" s="211"/>
      <c r="BA60" s="211"/>
      <c r="BB60" s="211"/>
      <c r="BC60" s="211"/>
      <c r="BD60" s="211"/>
      <c r="BE60" s="211"/>
      <c r="BF60" s="211"/>
      <c r="BG60" s="211"/>
      <c r="BH60" s="211"/>
      <c r="BI60" s="211"/>
      <c r="BJ60" s="211"/>
      <c r="BK60" s="211"/>
      <c r="BL60" s="211"/>
      <c r="BM60" s="211"/>
      <c r="BN60" s="211"/>
      <c r="BO60" s="33"/>
      <c r="BP60" s="242">
        <f>COUNTIF(E60:H60,"X")</f>
        <v>0</v>
      </c>
      <c r="BQ60" s="78">
        <f>COUNTIF(E60:H60,"X/2")/2</f>
        <v>0</v>
      </c>
      <c r="BR60" s="273">
        <f t="shared" si="1"/>
        <v>0</v>
      </c>
      <c r="BS60" s="270">
        <v>270000</v>
      </c>
      <c r="BT60" s="53">
        <f t="shared" si="2"/>
        <v>0</v>
      </c>
      <c r="BU60" s="359"/>
    </row>
    <row r="61" spans="1:74" s="31" customFormat="1" x14ac:dyDescent="0.3">
      <c r="A61" s="61">
        <f t="shared" si="3"/>
        <v>57</v>
      </c>
      <c r="B61" s="116" t="s">
        <v>356</v>
      </c>
      <c r="C61" s="116"/>
      <c r="D61" s="205" t="s">
        <v>5</v>
      </c>
      <c r="E61" s="127"/>
      <c r="F61" s="32"/>
      <c r="G61" s="32"/>
      <c r="H61" s="32"/>
      <c r="I61" s="32"/>
      <c r="J61" s="32"/>
      <c r="K61" s="32"/>
      <c r="L61" s="32"/>
      <c r="M61" s="280"/>
      <c r="N61" s="32"/>
      <c r="O61" s="32"/>
      <c r="P61" s="32"/>
      <c r="Q61" s="32"/>
      <c r="R61" s="211"/>
      <c r="S61" s="211"/>
      <c r="T61" s="211"/>
      <c r="U61" s="211"/>
      <c r="V61" s="211"/>
      <c r="W61" s="211"/>
      <c r="X61" s="211"/>
      <c r="Y61" s="211"/>
      <c r="Z61" s="211"/>
      <c r="AA61" s="211"/>
      <c r="AB61" s="211"/>
      <c r="AC61" s="211"/>
      <c r="AD61" s="211"/>
      <c r="AE61" s="211"/>
      <c r="AF61" s="211"/>
      <c r="AG61" s="211"/>
      <c r="AH61" s="211"/>
      <c r="AI61" s="211"/>
      <c r="AJ61" s="211"/>
      <c r="AK61" s="211"/>
      <c r="AL61" s="211"/>
      <c r="AM61" s="211"/>
      <c r="AN61" s="211"/>
      <c r="AO61" s="211"/>
      <c r="AP61" s="211"/>
      <c r="AQ61" s="211"/>
      <c r="AR61" s="211"/>
      <c r="AS61" s="211"/>
      <c r="AT61" s="211"/>
      <c r="AU61" s="211"/>
      <c r="AV61" s="211"/>
      <c r="AW61" s="211"/>
      <c r="AX61" s="211"/>
      <c r="AY61" s="211"/>
      <c r="AZ61" s="211"/>
      <c r="BA61" s="211"/>
      <c r="BB61" s="211"/>
      <c r="BC61" s="211"/>
      <c r="BD61" s="211"/>
      <c r="BE61" s="211"/>
      <c r="BF61" s="211"/>
      <c r="BG61" s="211"/>
      <c r="BH61" s="211"/>
      <c r="BI61" s="211"/>
      <c r="BJ61" s="211"/>
      <c r="BK61" s="211"/>
      <c r="BL61" s="211"/>
      <c r="BM61" s="211"/>
      <c r="BN61" s="211"/>
      <c r="BO61" s="33"/>
      <c r="BP61" s="242">
        <f>COUNTIF(E61:H61,"X")</f>
        <v>0</v>
      </c>
      <c r="BQ61" s="78">
        <f>COUNTIF(E61:H61,"X/2")/2</f>
        <v>0</v>
      </c>
      <c r="BR61" s="273">
        <f t="shared" si="1"/>
        <v>0</v>
      </c>
      <c r="BS61" s="270">
        <v>260000</v>
      </c>
      <c r="BT61" s="53">
        <f t="shared" si="2"/>
        <v>0</v>
      </c>
      <c r="BU61" s="359"/>
    </row>
    <row r="62" spans="1:74" s="31" customFormat="1" x14ac:dyDescent="0.3">
      <c r="A62" s="61">
        <f t="shared" si="3"/>
        <v>58</v>
      </c>
      <c r="B62" s="116" t="s">
        <v>361</v>
      </c>
      <c r="C62" s="116"/>
      <c r="D62" s="205" t="s">
        <v>4</v>
      </c>
      <c r="E62" s="127"/>
      <c r="F62" s="32"/>
      <c r="G62" s="32"/>
      <c r="H62" s="32"/>
      <c r="I62" s="32"/>
      <c r="J62" s="32"/>
      <c r="K62" s="32"/>
      <c r="L62" s="32"/>
      <c r="M62" s="280"/>
      <c r="N62" s="32"/>
      <c r="O62" s="32"/>
      <c r="P62" s="32"/>
      <c r="Q62" s="32"/>
      <c r="R62" s="211"/>
      <c r="S62" s="211"/>
      <c r="T62" s="211"/>
      <c r="U62" s="211"/>
      <c r="V62" s="211"/>
      <c r="W62" s="211"/>
      <c r="X62" s="211"/>
      <c r="Y62" s="211"/>
      <c r="Z62" s="211"/>
      <c r="AA62" s="211"/>
      <c r="AB62" s="211"/>
      <c r="AC62" s="211"/>
      <c r="AD62" s="211"/>
      <c r="AE62" s="211"/>
      <c r="AF62" s="211"/>
      <c r="AG62" s="211"/>
      <c r="AH62" s="211"/>
      <c r="AI62" s="211"/>
      <c r="AJ62" s="211"/>
      <c r="AK62" s="211"/>
      <c r="AL62" s="211"/>
      <c r="AM62" s="211"/>
      <c r="AN62" s="211"/>
      <c r="AO62" s="211"/>
      <c r="AP62" s="211"/>
      <c r="AQ62" s="211"/>
      <c r="AR62" s="211"/>
      <c r="AS62" s="211"/>
      <c r="AT62" s="211"/>
      <c r="AU62" s="211"/>
      <c r="AV62" s="211"/>
      <c r="AW62" s="211"/>
      <c r="AX62" s="211"/>
      <c r="AY62" s="211"/>
      <c r="AZ62" s="211"/>
      <c r="BA62" s="211"/>
      <c r="BB62" s="211"/>
      <c r="BC62" s="211"/>
      <c r="BD62" s="211"/>
      <c r="BE62" s="211"/>
      <c r="BF62" s="211"/>
      <c r="BG62" s="211"/>
      <c r="BH62" s="211"/>
      <c r="BI62" s="211"/>
      <c r="BJ62" s="211"/>
      <c r="BK62" s="211"/>
      <c r="BL62" s="211"/>
      <c r="BM62" s="211"/>
      <c r="BN62" s="211"/>
      <c r="BO62" s="33"/>
      <c r="BP62" s="230">
        <f>COUNTIF(E62:H62,"X")</f>
        <v>0</v>
      </c>
      <c r="BQ62" s="163">
        <f>COUNTIF(E62:H62,"X/2")/2</f>
        <v>0</v>
      </c>
      <c r="BR62" s="273">
        <f t="shared" si="1"/>
        <v>0</v>
      </c>
      <c r="BS62" s="270">
        <v>360000</v>
      </c>
      <c r="BT62" s="53">
        <f t="shared" si="2"/>
        <v>0</v>
      </c>
      <c r="BU62" s="359"/>
    </row>
    <row r="63" spans="1:74" s="31" customFormat="1" x14ac:dyDescent="0.3">
      <c r="A63" s="61">
        <f t="shared" si="3"/>
        <v>59</v>
      </c>
      <c r="B63" s="116" t="s">
        <v>362</v>
      </c>
      <c r="C63" s="116"/>
      <c r="D63" s="205" t="s">
        <v>5</v>
      </c>
      <c r="E63" s="127"/>
      <c r="F63" s="32"/>
      <c r="G63" s="32"/>
      <c r="H63" s="32"/>
      <c r="I63" s="32"/>
      <c r="J63" s="32"/>
      <c r="K63" s="32"/>
      <c r="L63" s="32"/>
      <c r="M63" s="280"/>
      <c r="N63" s="32"/>
      <c r="O63" s="32"/>
      <c r="P63" s="32"/>
      <c r="Q63" s="32"/>
      <c r="R63" s="211"/>
      <c r="S63" s="211"/>
      <c r="T63" s="211"/>
      <c r="U63" s="211"/>
      <c r="V63" s="211"/>
      <c r="W63" s="211"/>
      <c r="X63" s="211"/>
      <c r="Y63" s="211"/>
      <c r="Z63" s="211"/>
      <c r="AA63" s="211"/>
      <c r="AB63" s="211"/>
      <c r="AC63" s="211"/>
      <c r="AD63" s="211"/>
      <c r="AE63" s="211"/>
      <c r="AF63" s="211"/>
      <c r="AG63" s="211"/>
      <c r="AH63" s="211"/>
      <c r="AI63" s="211"/>
      <c r="AJ63" s="211"/>
      <c r="AK63" s="211"/>
      <c r="AL63" s="211"/>
      <c r="AM63" s="211"/>
      <c r="AN63" s="211"/>
      <c r="AO63" s="211"/>
      <c r="AP63" s="211"/>
      <c r="AQ63" s="211"/>
      <c r="AR63" s="211"/>
      <c r="AS63" s="211"/>
      <c r="AT63" s="211"/>
      <c r="AU63" s="211"/>
      <c r="AV63" s="211"/>
      <c r="AW63" s="211"/>
      <c r="AX63" s="211"/>
      <c r="AY63" s="211"/>
      <c r="AZ63" s="211"/>
      <c r="BA63" s="211"/>
      <c r="BB63" s="211"/>
      <c r="BC63" s="211"/>
      <c r="BD63" s="211"/>
      <c r="BE63" s="211"/>
      <c r="BF63" s="211"/>
      <c r="BG63" s="211"/>
      <c r="BH63" s="211"/>
      <c r="BI63" s="211"/>
      <c r="BJ63" s="211"/>
      <c r="BK63" s="211"/>
      <c r="BL63" s="211"/>
      <c r="BM63" s="211"/>
      <c r="BN63" s="211"/>
      <c r="BO63" s="33"/>
      <c r="BP63" s="230">
        <f>COUNTIF(E63:H63,"X")</f>
        <v>0</v>
      </c>
      <c r="BQ63" s="163">
        <f>COUNTIF(E63:H63,"X/2")/2</f>
        <v>0</v>
      </c>
      <c r="BR63" s="273">
        <f t="shared" si="1"/>
        <v>0</v>
      </c>
      <c r="BS63" s="270">
        <v>260000</v>
      </c>
      <c r="BT63" s="53">
        <f t="shared" si="2"/>
        <v>0</v>
      </c>
      <c r="BU63" s="359"/>
    </row>
    <row r="64" spans="1:74" s="31" customFormat="1" x14ac:dyDescent="0.3">
      <c r="A64" s="61">
        <f t="shared" si="3"/>
        <v>60</v>
      </c>
      <c r="B64" s="116" t="s">
        <v>363</v>
      </c>
      <c r="C64" s="116"/>
      <c r="D64" s="205" t="s">
        <v>5</v>
      </c>
      <c r="E64" s="127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211"/>
      <c r="S64" s="211"/>
      <c r="T64" s="211"/>
      <c r="U64" s="211"/>
      <c r="V64" s="211"/>
      <c r="W64" s="211"/>
      <c r="X64" s="211"/>
      <c r="Y64" s="211"/>
      <c r="Z64" s="211"/>
      <c r="AA64" s="211"/>
      <c r="AB64" s="211"/>
      <c r="AC64" s="211"/>
      <c r="AD64" s="211"/>
      <c r="AE64" s="211"/>
      <c r="AF64" s="211"/>
      <c r="AG64" s="211"/>
      <c r="AH64" s="211"/>
      <c r="AI64" s="211"/>
      <c r="AJ64" s="211"/>
      <c r="AK64" s="211"/>
      <c r="AL64" s="211"/>
      <c r="AM64" s="211"/>
      <c r="AN64" s="211"/>
      <c r="AO64" s="211"/>
      <c r="AP64" s="211"/>
      <c r="AQ64" s="211"/>
      <c r="AR64" s="211" t="s">
        <v>9</v>
      </c>
      <c r="AS64" s="211"/>
      <c r="AT64" s="211"/>
      <c r="AU64" s="211"/>
      <c r="AV64" s="211"/>
      <c r="AW64" s="211"/>
      <c r="AX64" s="211"/>
      <c r="AY64" s="211"/>
      <c r="AZ64" s="211"/>
      <c r="BA64" s="211"/>
      <c r="BB64" s="211"/>
      <c r="BC64" s="211"/>
      <c r="BD64" s="211"/>
      <c r="BE64" s="211"/>
      <c r="BF64" s="211"/>
      <c r="BG64" s="211"/>
      <c r="BH64" s="211"/>
      <c r="BI64" s="211"/>
      <c r="BJ64" s="211"/>
      <c r="BK64" s="211"/>
      <c r="BL64" s="211"/>
      <c r="BM64" s="211"/>
      <c r="BN64" s="211"/>
      <c r="BO64" s="33"/>
      <c r="BP64" s="242">
        <f>COUNTIF(E64:BO64,"X")</f>
        <v>1</v>
      </c>
      <c r="BQ64" s="163">
        <f>COUNTIF(E64:H64,"X/2")/2</f>
        <v>0</v>
      </c>
      <c r="BR64" s="273">
        <f t="shared" si="1"/>
        <v>1</v>
      </c>
      <c r="BS64" s="270">
        <v>260000</v>
      </c>
      <c r="BT64" s="53">
        <f t="shared" si="2"/>
        <v>260000</v>
      </c>
      <c r="BU64" s="359"/>
    </row>
    <row r="65" spans="1:73" s="31" customFormat="1" x14ac:dyDescent="0.3">
      <c r="A65" s="61">
        <f t="shared" si="3"/>
        <v>61</v>
      </c>
      <c r="B65" s="116" t="s">
        <v>364</v>
      </c>
      <c r="C65" s="116"/>
      <c r="D65" s="205" t="s">
        <v>4</v>
      </c>
      <c r="E65" s="127"/>
      <c r="F65" s="32"/>
      <c r="G65" s="32"/>
      <c r="H65" s="32"/>
      <c r="I65" s="32"/>
      <c r="J65" s="32"/>
      <c r="K65" s="32"/>
      <c r="L65" s="32"/>
      <c r="M65" s="280"/>
      <c r="N65" s="32"/>
      <c r="O65" s="32"/>
      <c r="P65" s="32"/>
      <c r="Q65" s="32"/>
      <c r="R65" s="211"/>
      <c r="S65" s="211"/>
      <c r="T65" s="211"/>
      <c r="U65" s="211"/>
      <c r="V65" s="211"/>
      <c r="W65" s="211"/>
      <c r="X65" s="211"/>
      <c r="Y65" s="211"/>
      <c r="Z65" s="211"/>
      <c r="AA65" s="211"/>
      <c r="AB65" s="211"/>
      <c r="AC65" s="211"/>
      <c r="AD65" s="211"/>
      <c r="AE65" s="211"/>
      <c r="AF65" s="211"/>
      <c r="AG65" s="211"/>
      <c r="AH65" s="211"/>
      <c r="AI65" s="211"/>
      <c r="AJ65" s="211"/>
      <c r="AK65" s="211"/>
      <c r="AL65" s="211"/>
      <c r="AM65" s="211"/>
      <c r="AN65" s="211"/>
      <c r="AO65" s="211"/>
      <c r="AP65" s="211"/>
      <c r="AQ65" s="211"/>
      <c r="AR65" s="211"/>
      <c r="AS65" s="211"/>
      <c r="AT65" s="211"/>
      <c r="AU65" s="211"/>
      <c r="AV65" s="211"/>
      <c r="AW65" s="211"/>
      <c r="AX65" s="211"/>
      <c r="AY65" s="211"/>
      <c r="AZ65" s="211"/>
      <c r="BA65" s="211"/>
      <c r="BB65" s="211"/>
      <c r="BC65" s="211"/>
      <c r="BD65" s="211"/>
      <c r="BE65" s="211"/>
      <c r="BF65" s="211"/>
      <c r="BG65" s="211"/>
      <c r="BH65" s="211"/>
      <c r="BI65" s="211"/>
      <c r="BJ65" s="211"/>
      <c r="BK65" s="211"/>
      <c r="BL65" s="211"/>
      <c r="BM65" s="211"/>
      <c r="BN65" s="211"/>
      <c r="BO65" s="33"/>
      <c r="BP65" s="230">
        <f>COUNTIF(E65:H65,"X")</f>
        <v>0</v>
      </c>
      <c r="BQ65" s="163">
        <f>COUNTIF(E65:H65,"X/2")/2</f>
        <v>0</v>
      </c>
      <c r="BR65" s="273">
        <f t="shared" si="1"/>
        <v>0</v>
      </c>
      <c r="BS65" s="270">
        <v>370000</v>
      </c>
      <c r="BT65" s="53">
        <f t="shared" si="2"/>
        <v>0</v>
      </c>
      <c r="BU65" s="359"/>
    </row>
    <row r="66" spans="1:73" s="31" customFormat="1" x14ac:dyDescent="0.3">
      <c r="A66" s="61">
        <f t="shared" si="3"/>
        <v>62</v>
      </c>
      <c r="B66" s="116" t="s">
        <v>365</v>
      </c>
      <c r="C66" s="116"/>
      <c r="D66" s="205" t="s">
        <v>5</v>
      </c>
      <c r="E66" s="127"/>
      <c r="F66" s="32"/>
      <c r="G66" s="32"/>
      <c r="H66" s="32"/>
      <c r="I66" s="32"/>
      <c r="J66" s="32"/>
      <c r="K66" s="32"/>
      <c r="L66" s="32"/>
      <c r="M66" s="280"/>
      <c r="N66" s="32"/>
      <c r="O66" s="32"/>
      <c r="P66" s="32"/>
      <c r="Q66" s="32"/>
      <c r="R66" s="211"/>
      <c r="S66" s="211"/>
      <c r="T66" s="211"/>
      <c r="U66" s="211"/>
      <c r="V66" s="211"/>
      <c r="W66" s="211"/>
      <c r="X66" s="211"/>
      <c r="Y66" s="211"/>
      <c r="Z66" s="211"/>
      <c r="AA66" s="211"/>
      <c r="AB66" s="211"/>
      <c r="AC66" s="211"/>
      <c r="AD66" s="211"/>
      <c r="AE66" s="211"/>
      <c r="AF66" s="211"/>
      <c r="AG66" s="211"/>
      <c r="AH66" s="211"/>
      <c r="AI66" s="211"/>
      <c r="AJ66" s="211"/>
      <c r="AK66" s="211"/>
      <c r="AL66" s="211"/>
      <c r="AM66" s="211"/>
      <c r="AN66" s="211"/>
      <c r="AO66" s="211"/>
      <c r="AP66" s="211"/>
      <c r="AQ66" s="211"/>
      <c r="AR66" s="211"/>
      <c r="AS66" s="211"/>
      <c r="AT66" s="211"/>
      <c r="AU66" s="211"/>
      <c r="AV66" s="211"/>
      <c r="AW66" s="211"/>
      <c r="AX66" s="211"/>
      <c r="AY66" s="211"/>
      <c r="AZ66" s="211"/>
      <c r="BA66" s="211"/>
      <c r="BB66" s="211"/>
      <c r="BC66" s="211"/>
      <c r="BD66" s="211"/>
      <c r="BE66" s="211"/>
      <c r="BF66" s="211"/>
      <c r="BG66" s="211"/>
      <c r="BH66" s="211"/>
      <c r="BI66" s="211"/>
      <c r="BJ66" s="211"/>
      <c r="BK66" s="211"/>
      <c r="BL66" s="211"/>
      <c r="BM66" s="211"/>
      <c r="BN66" s="211"/>
      <c r="BO66" s="33"/>
      <c r="BP66" s="230">
        <f>COUNTIF(E66:H66,"X")</f>
        <v>0</v>
      </c>
      <c r="BQ66" s="163">
        <f>COUNTIF(E66:H66,"X/2")/2</f>
        <v>0</v>
      </c>
      <c r="BR66" s="273">
        <f t="shared" si="1"/>
        <v>0</v>
      </c>
      <c r="BS66" s="270">
        <v>260000</v>
      </c>
      <c r="BT66" s="53">
        <f t="shared" si="2"/>
        <v>0</v>
      </c>
      <c r="BU66" s="359"/>
    </row>
    <row r="67" spans="1:73" s="31" customFormat="1" x14ac:dyDescent="0.3">
      <c r="A67" s="61">
        <f t="shared" si="3"/>
        <v>63</v>
      </c>
      <c r="B67" s="116" t="s">
        <v>366</v>
      </c>
      <c r="C67" s="116"/>
      <c r="D67" s="205" t="s">
        <v>4</v>
      </c>
      <c r="E67" s="127"/>
      <c r="F67" s="32"/>
      <c r="G67" s="32"/>
      <c r="H67" s="32"/>
      <c r="I67" s="32"/>
      <c r="J67" s="32"/>
      <c r="K67" s="32"/>
      <c r="L67" s="32"/>
      <c r="M67" s="280"/>
      <c r="N67" s="32"/>
      <c r="O67" s="32"/>
      <c r="P67" s="32"/>
      <c r="Q67" s="32"/>
      <c r="R67" s="211"/>
      <c r="S67" s="211"/>
      <c r="T67" s="211"/>
      <c r="U67" s="211"/>
      <c r="V67" s="211"/>
      <c r="W67" s="211"/>
      <c r="X67" s="211"/>
      <c r="Y67" s="211"/>
      <c r="Z67" s="211"/>
      <c r="AA67" s="211"/>
      <c r="AB67" s="211"/>
      <c r="AC67" s="211"/>
      <c r="AD67" s="211"/>
      <c r="AE67" s="211"/>
      <c r="AF67" s="211"/>
      <c r="AG67" s="211"/>
      <c r="AH67" s="211"/>
      <c r="AI67" s="211"/>
      <c r="AJ67" s="211"/>
      <c r="AK67" s="211"/>
      <c r="AL67" s="211"/>
      <c r="AM67" s="211"/>
      <c r="AN67" s="211"/>
      <c r="AO67" s="211"/>
      <c r="AP67" s="211"/>
      <c r="AQ67" s="211"/>
      <c r="AR67" s="211"/>
      <c r="AS67" s="211"/>
      <c r="AT67" s="211"/>
      <c r="AU67" s="211"/>
      <c r="AV67" s="211"/>
      <c r="AW67" s="211"/>
      <c r="AX67" s="211"/>
      <c r="AY67" s="211"/>
      <c r="AZ67" s="211"/>
      <c r="BA67" s="211"/>
      <c r="BB67" s="211"/>
      <c r="BC67" s="211"/>
      <c r="BD67" s="211"/>
      <c r="BE67" s="211"/>
      <c r="BF67" s="211"/>
      <c r="BG67" s="211"/>
      <c r="BH67" s="211"/>
      <c r="BI67" s="211"/>
      <c r="BJ67" s="211"/>
      <c r="BK67" s="211"/>
      <c r="BL67" s="211"/>
      <c r="BM67" s="211"/>
      <c r="BN67" s="211"/>
      <c r="BO67" s="33"/>
      <c r="BP67" s="230">
        <f>COUNTIF(E67:H67,"X")</f>
        <v>0</v>
      </c>
      <c r="BQ67" s="163">
        <f>COUNTIF(E67:H67,"X/2")/2</f>
        <v>0</v>
      </c>
      <c r="BR67" s="273">
        <f t="shared" si="1"/>
        <v>0</v>
      </c>
      <c r="BS67" s="270">
        <v>360000</v>
      </c>
      <c r="BT67" s="53">
        <f t="shared" si="2"/>
        <v>0</v>
      </c>
      <c r="BU67" s="359"/>
    </row>
    <row r="68" spans="1:73" s="31" customFormat="1" x14ac:dyDescent="0.3">
      <c r="A68" s="61">
        <f t="shared" si="3"/>
        <v>64</v>
      </c>
      <c r="B68" s="116" t="s">
        <v>367</v>
      </c>
      <c r="C68" s="116"/>
      <c r="D68" s="205" t="s">
        <v>5</v>
      </c>
      <c r="E68" s="127"/>
      <c r="F68" s="32"/>
      <c r="G68" s="32"/>
      <c r="H68" s="32"/>
      <c r="I68" s="32"/>
      <c r="J68" s="32"/>
      <c r="K68" s="32"/>
      <c r="L68" s="32"/>
      <c r="M68" s="280"/>
      <c r="N68" s="32"/>
      <c r="O68" s="32"/>
      <c r="P68" s="32"/>
      <c r="Q68" s="32"/>
      <c r="R68" s="211"/>
      <c r="S68" s="211"/>
      <c r="T68" s="211"/>
      <c r="U68" s="211"/>
      <c r="V68" s="211"/>
      <c r="W68" s="211"/>
      <c r="X68" s="211"/>
      <c r="Y68" s="211"/>
      <c r="Z68" s="211"/>
      <c r="AA68" s="211"/>
      <c r="AB68" s="211"/>
      <c r="AC68" s="211"/>
      <c r="AD68" s="211"/>
      <c r="AE68" s="211"/>
      <c r="AF68" s="211"/>
      <c r="AG68" s="211"/>
      <c r="AH68" s="211"/>
      <c r="AI68" s="211"/>
      <c r="AJ68" s="211"/>
      <c r="AK68" s="211"/>
      <c r="AL68" s="211"/>
      <c r="AM68" s="211"/>
      <c r="AN68" s="211"/>
      <c r="AO68" s="211"/>
      <c r="AP68" s="211"/>
      <c r="AQ68" s="211"/>
      <c r="AR68" s="211"/>
      <c r="AS68" s="211"/>
      <c r="AT68" s="211"/>
      <c r="AU68" s="211"/>
      <c r="AV68" s="211"/>
      <c r="AW68" s="211"/>
      <c r="AX68" s="211"/>
      <c r="AY68" s="211"/>
      <c r="AZ68" s="211"/>
      <c r="BA68" s="211"/>
      <c r="BB68" s="211"/>
      <c r="BC68" s="211"/>
      <c r="BD68" s="211"/>
      <c r="BE68" s="211"/>
      <c r="BF68" s="211"/>
      <c r="BG68" s="211"/>
      <c r="BH68" s="211"/>
      <c r="BI68" s="211"/>
      <c r="BJ68" s="211"/>
      <c r="BK68" s="211"/>
      <c r="BL68" s="211"/>
      <c r="BM68" s="211"/>
      <c r="BN68" s="211"/>
      <c r="BO68" s="33"/>
      <c r="BP68" s="230">
        <f>COUNTIF(E68:H68,"X")</f>
        <v>0</v>
      </c>
      <c r="BQ68" s="163">
        <f>COUNTIF(E68:H68,"X/2")/2</f>
        <v>0</v>
      </c>
      <c r="BR68" s="273">
        <f t="shared" si="1"/>
        <v>0</v>
      </c>
      <c r="BS68" s="270">
        <v>260000</v>
      </c>
      <c r="BT68" s="53">
        <f t="shared" si="2"/>
        <v>0</v>
      </c>
      <c r="BU68" s="359"/>
    </row>
    <row r="69" spans="1:73" s="31" customFormat="1" x14ac:dyDescent="0.3">
      <c r="A69" s="61">
        <f t="shared" si="3"/>
        <v>65</v>
      </c>
      <c r="B69" s="116" t="s">
        <v>368</v>
      </c>
      <c r="C69" s="116"/>
      <c r="D69" s="205" t="s">
        <v>5</v>
      </c>
      <c r="E69" s="127"/>
      <c r="F69" s="32"/>
      <c r="G69" s="32"/>
      <c r="H69" s="32"/>
      <c r="I69" s="32"/>
      <c r="J69" s="32"/>
      <c r="K69" s="32"/>
      <c r="L69" s="32"/>
      <c r="M69" s="280"/>
      <c r="N69" s="32"/>
      <c r="O69" s="32"/>
      <c r="P69" s="32"/>
      <c r="Q69" s="32"/>
      <c r="R69" s="211"/>
      <c r="S69" s="211"/>
      <c r="T69" s="211"/>
      <c r="U69" s="211"/>
      <c r="V69" s="211"/>
      <c r="W69" s="211"/>
      <c r="X69" s="211"/>
      <c r="Y69" s="211"/>
      <c r="Z69" s="211"/>
      <c r="AA69" s="211"/>
      <c r="AB69" s="211"/>
      <c r="AC69" s="211"/>
      <c r="AD69" s="211"/>
      <c r="AE69" s="211"/>
      <c r="AF69" s="211"/>
      <c r="AG69" s="211"/>
      <c r="AH69" s="211"/>
      <c r="AI69" s="211"/>
      <c r="AJ69" s="211"/>
      <c r="AK69" s="211"/>
      <c r="AL69" s="211"/>
      <c r="AM69" s="211"/>
      <c r="AN69" s="211"/>
      <c r="AO69" s="211"/>
      <c r="AP69" s="211"/>
      <c r="AQ69" s="211"/>
      <c r="AR69" s="211"/>
      <c r="AS69" s="211"/>
      <c r="AT69" s="211"/>
      <c r="AU69" s="211"/>
      <c r="AV69" s="211"/>
      <c r="AW69" s="211"/>
      <c r="AX69" s="211"/>
      <c r="AY69" s="211"/>
      <c r="AZ69" s="211"/>
      <c r="BA69" s="211"/>
      <c r="BB69" s="211"/>
      <c r="BC69" s="211"/>
      <c r="BD69" s="211"/>
      <c r="BE69" s="211"/>
      <c r="BF69" s="211"/>
      <c r="BG69" s="211"/>
      <c r="BH69" s="211"/>
      <c r="BI69" s="211"/>
      <c r="BJ69" s="211"/>
      <c r="BK69" s="211"/>
      <c r="BL69" s="211"/>
      <c r="BM69" s="211"/>
      <c r="BN69" s="211"/>
      <c r="BO69" s="33"/>
      <c r="BP69" s="230">
        <f>COUNTIF(E69:H69,"X")</f>
        <v>0</v>
      </c>
      <c r="BQ69" s="163">
        <f>COUNTIF(E69:H69,"X/2")/2</f>
        <v>0</v>
      </c>
      <c r="BR69" s="273">
        <f t="shared" ref="BR69:BR84" si="4">SUM(BP69:BQ69)</f>
        <v>0</v>
      </c>
      <c r="BS69" s="270">
        <v>260000</v>
      </c>
      <c r="BT69" s="53">
        <f t="shared" ref="BT69:BT84" si="5">BR69*BS69</f>
        <v>0</v>
      </c>
      <c r="BU69" s="359"/>
    </row>
    <row r="70" spans="1:73" s="31" customFormat="1" x14ac:dyDescent="0.3">
      <c r="A70" s="61">
        <f t="shared" si="3"/>
        <v>66</v>
      </c>
      <c r="B70" s="116" t="s">
        <v>369</v>
      </c>
      <c r="C70" s="116"/>
      <c r="D70" s="205" t="s">
        <v>5</v>
      </c>
      <c r="E70" s="127"/>
      <c r="F70" s="32"/>
      <c r="G70" s="32"/>
      <c r="H70" s="32"/>
      <c r="I70" s="32"/>
      <c r="J70" s="32"/>
      <c r="K70" s="32"/>
      <c r="L70" s="32"/>
      <c r="M70" s="280"/>
      <c r="N70" s="32"/>
      <c r="O70" s="32"/>
      <c r="P70" s="32"/>
      <c r="Q70" s="32"/>
      <c r="R70" s="211"/>
      <c r="S70" s="211"/>
      <c r="T70" s="211"/>
      <c r="U70" s="211"/>
      <c r="V70" s="211"/>
      <c r="W70" s="211"/>
      <c r="X70" s="211"/>
      <c r="Y70" s="211"/>
      <c r="Z70" s="211"/>
      <c r="AA70" s="211"/>
      <c r="AB70" s="211"/>
      <c r="AC70" s="211"/>
      <c r="AD70" s="211"/>
      <c r="AE70" s="211"/>
      <c r="AF70" s="211"/>
      <c r="AG70" s="211"/>
      <c r="AH70" s="211"/>
      <c r="AI70" s="211"/>
      <c r="AJ70" s="211"/>
      <c r="AK70" s="211"/>
      <c r="AL70" s="211"/>
      <c r="AM70" s="211"/>
      <c r="AN70" s="211"/>
      <c r="AO70" s="211"/>
      <c r="AP70" s="211"/>
      <c r="AQ70" s="211"/>
      <c r="AR70" s="211"/>
      <c r="AS70" s="211"/>
      <c r="AT70" s="211"/>
      <c r="AU70" s="211"/>
      <c r="AV70" s="211"/>
      <c r="AW70" s="211"/>
      <c r="AX70" s="211"/>
      <c r="AY70" s="211"/>
      <c r="AZ70" s="211"/>
      <c r="BA70" s="211"/>
      <c r="BB70" s="211"/>
      <c r="BC70" s="211"/>
      <c r="BD70" s="211"/>
      <c r="BE70" s="211"/>
      <c r="BF70" s="211"/>
      <c r="BG70" s="211"/>
      <c r="BH70" s="211"/>
      <c r="BI70" s="211"/>
      <c r="BJ70" s="211"/>
      <c r="BK70" s="211"/>
      <c r="BL70" s="211"/>
      <c r="BM70" s="211"/>
      <c r="BN70" s="211"/>
      <c r="BO70" s="33"/>
      <c r="BP70" s="230">
        <f>COUNTIF(E70:H70,"X")</f>
        <v>0</v>
      </c>
      <c r="BQ70" s="163">
        <f>COUNTIF(E70:H70,"X/2")/2</f>
        <v>0</v>
      </c>
      <c r="BR70" s="273">
        <f t="shared" si="4"/>
        <v>0</v>
      </c>
      <c r="BS70" s="270">
        <v>270000</v>
      </c>
      <c r="BT70" s="53">
        <f t="shared" si="5"/>
        <v>0</v>
      </c>
      <c r="BU70" s="359"/>
    </row>
    <row r="71" spans="1:73" s="31" customFormat="1" x14ac:dyDescent="0.3">
      <c r="A71" s="61">
        <f t="shared" si="3"/>
        <v>67</v>
      </c>
      <c r="B71" s="116" t="s">
        <v>371</v>
      </c>
      <c r="C71" s="116"/>
      <c r="D71" s="205" t="s">
        <v>4</v>
      </c>
      <c r="E71" s="127"/>
      <c r="F71" s="32"/>
      <c r="G71" s="32"/>
      <c r="H71" s="32"/>
      <c r="I71" s="32"/>
      <c r="J71" s="32"/>
      <c r="K71" s="32"/>
      <c r="L71" s="32"/>
      <c r="M71" s="280"/>
      <c r="N71" s="32"/>
      <c r="O71" s="32"/>
      <c r="P71" s="32"/>
      <c r="Q71" s="32"/>
      <c r="R71" s="211"/>
      <c r="S71" s="211"/>
      <c r="T71" s="211"/>
      <c r="U71" s="211"/>
      <c r="V71" s="211"/>
      <c r="W71" s="211"/>
      <c r="X71" s="211"/>
      <c r="Y71" s="211"/>
      <c r="Z71" s="211"/>
      <c r="AA71" s="211"/>
      <c r="AB71" s="211"/>
      <c r="AC71" s="211"/>
      <c r="AD71" s="211"/>
      <c r="AE71" s="211"/>
      <c r="AF71" s="211"/>
      <c r="AG71" s="211"/>
      <c r="AH71" s="211"/>
      <c r="AI71" s="211"/>
      <c r="AJ71" s="211"/>
      <c r="AK71" s="211"/>
      <c r="AL71" s="211"/>
      <c r="AM71" s="211"/>
      <c r="AN71" s="211"/>
      <c r="AO71" s="211"/>
      <c r="AP71" s="211"/>
      <c r="AQ71" s="211"/>
      <c r="AR71" s="211"/>
      <c r="AS71" s="211"/>
      <c r="AT71" s="211"/>
      <c r="AU71" s="211"/>
      <c r="AV71" s="211"/>
      <c r="AW71" s="211"/>
      <c r="AX71" s="211"/>
      <c r="AY71" s="211"/>
      <c r="AZ71" s="211"/>
      <c r="BA71" s="211"/>
      <c r="BB71" s="211"/>
      <c r="BC71" s="211"/>
      <c r="BD71" s="211"/>
      <c r="BE71" s="211"/>
      <c r="BF71" s="211"/>
      <c r="BG71" s="211"/>
      <c r="BH71" s="211"/>
      <c r="BI71" s="211"/>
      <c r="BJ71" s="211"/>
      <c r="BK71" s="211"/>
      <c r="BL71" s="211"/>
      <c r="BM71" s="211"/>
      <c r="BN71" s="211"/>
      <c r="BO71" s="33"/>
      <c r="BP71" s="230">
        <f>COUNTIF(E71:H71,"X")</f>
        <v>0</v>
      </c>
      <c r="BQ71" s="163">
        <f>COUNTIF(E71:H71,"X/2")/2</f>
        <v>0</v>
      </c>
      <c r="BR71" s="273">
        <f t="shared" si="4"/>
        <v>0</v>
      </c>
      <c r="BS71" s="270">
        <v>360000</v>
      </c>
      <c r="BT71" s="53">
        <f t="shared" si="5"/>
        <v>0</v>
      </c>
      <c r="BU71" s="359"/>
    </row>
    <row r="72" spans="1:73" s="31" customFormat="1" x14ac:dyDescent="0.3">
      <c r="A72" s="61">
        <f t="shared" ref="A72:A84" si="6">A71+1</f>
        <v>68</v>
      </c>
      <c r="B72" s="116" t="s">
        <v>372</v>
      </c>
      <c r="C72" s="116"/>
      <c r="D72" s="205" t="s">
        <v>4</v>
      </c>
      <c r="E72" s="127"/>
      <c r="F72" s="32"/>
      <c r="G72" s="32"/>
      <c r="H72" s="32"/>
      <c r="I72" s="32"/>
      <c r="J72" s="32"/>
      <c r="K72" s="32"/>
      <c r="L72" s="32"/>
      <c r="M72" s="280"/>
      <c r="N72" s="32"/>
      <c r="O72" s="32"/>
      <c r="P72" s="32"/>
      <c r="Q72" s="32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33"/>
      <c r="BP72" s="230">
        <f>COUNTIF(E72:H72,"X")</f>
        <v>0</v>
      </c>
      <c r="BQ72" s="163">
        <f>COUNTIF(E72:H72,"X/2")/2</f>
        <v>0</v>
      </c>
      <c r="BR72" s="273">
        <f t="shared" si="4"/>
        <v>0</v>
      </c>
      <c r="BS72" s="270">
        <v>360000</v>
      </c>
      <c r="BT72" s="53">
        <f t="shared" si="5"/>
        <v>0</v>
      </c>
      <c r="BU72" s="359"/>
    </row>
    <row r="73" spans="1:73" s="31" customFormat="1" x14ac:dyDescent="0.3">
      <c r="A73" s="61">
        <f t="shared" si="6"/>
        <v>69</v>
      </c>
      <c r="B73" s="116" t="s">
        <v>373</v>
      </c>
      <c r="C73" s="116"/>
      <c r="D73" s="205" t="s">
        <v>5</v>
      </c>
      <c r="E73" s="127"/>
      <c r="F73" s="32"/>
      <c r="G73" s="32"/>
      <c r="H73" s="32"/>
      <c r="I73" s="32"/>
      <c r="J73" s="32"/>
      <c r="K73" s="32"/>
      <c r="L73" s="32"/>
      <c r="M73" s="280"/>
      <c r="N73" s="32"/>
      <c r="O73" s="32"/>
      <c r="P73" s="32"/>
      <c r="Q73" s="32"/>
      <c r="R73" s="211"/>
      <c r="S73" s="211"/>
      <c r="T73" s="211"/>
      <c r="U73" s="211"/>
      <c r="V73" s="211"/>
      <c r="W73" s="211"/>
      <c r="X73" s="211"/>
      <c r="Y73" s="211"/>
      <c r="Z73" s="211"/>
      <c r="AA73" s="211"/>
      <c r="AB73" s="211"/>
      <c r="AC73" s="211"/>
      <c r="AD73" s="211"/>
      <c r="AE73" s="211"/>
      <c r="AF73" s="211"/>
      <c r="AG73" s="211"/>
      <c r="AH73" s="211"/>
      <c r="AI73" s="211"/>
      <c r="AJ73" s="211"/>
      <c r="AK73" s="211"/>
      <c r="AL73" s="211"/>
      <c r="AM73" s="211"/>
      <c r="AN73" s="211"/>
      <c r="AO73" s="211"/>
      <c r="AP73" s="211"/>
      <c r="AQ73" s="211"/>
      <c r="AR73" s="211"/>
      <c r="AS73" s="211"/>
      <c r="AT73" s="211"/>
      <c r="AU73" s="211"/>
      <c r="AV73" s="211"/>
      <c r="AW73" s="211"/>
      <c r="AX73" s="211"/>
      <c r="AY73" s="211"/>
      <c r="AZ73" s="211"/>
      <c r="BA73" s="211"/>
      <c r="BB73" s="211"/>
      <c r="BC73" s="211"/>
      <c r="BD73" s="211"/>
      <c r="BE73" s="211"/>
      <c r="BF73" s="211"/>
      <c r="BG73" s="211"/>
      <c r="BH73" s="211"/>
      <c r="BI73" s="211"/>
      <c r="BJ73" s="211"/>
      <c r="BK73" s="211"/>
      <c r="BL73" s="211"/>
      <c r="BM73" s="211"/>
      <c r="BN73" s="211"/>
      <c r="BO73" s="33"/>
      <c r="BP73" s="230">
        <f>COUNTIF(E73:H73,"X")</f>
        <v>0</v>
      </c>
      <c r="BQ73" s="163">
        <f>COUNTIF(E73:H73,"X/2")/2</f>
        <v>0</v>
      </c>
      <c r="BR73" s="273">
        <f t="shared" si="4"/>
        <v>0</v>
      </c>
      <c r="BS73" s="270">
        <v>260000</v>
      </c>
      <c r="BT73" s="53">
        <f t="shared" si="5"/>
        <v>0</v>
      </c>
      <c r="BU73" s="359"/>
    </row>
    <row r="74" spans="1:73" s="31" customFormat="1" x14ac:dyDescent="0.3">
      <c r="A74" s="61">
        <f t="shared" si="6"/>
        <v>70</v>
      </c>
      <c r="B74" s="116" t="s">
        <v>374</v>
      </c>
      <c r="C74" s="116"/>
      <c r="D74" s="205" t="s">
        <v>4</v>
      </c>
      <c r="E74" s="127"/>
      <c r="F74" s="32"/>
      <c r="G74" s="32"/>
      <c r="H74" s="32"/>
      <c r="I74" s="32"/>
      <c r="J74" s="32"/>
      <c r="K74" s="32"/>
      <c r="L74" s="32"/>
      <c r="M74" s="280"/>
      <c r="N74" s="32"/>
      <c r="O74" s="32"/>
      <c r="P74" s="32"/>
      <c r="Q74" s="32"/>
      <c r="R74" s="211"/>
      <c r="S74" s="211"/>
      <c r="T74" s="211"/>
      <c r="U74" s="211"/>
      <c r="V74" s="211"/>
      <c r="W74" s="211"/>
      <c r="X74" s="211"/>
      <c r="Y74" s="211"/>
      <c r="Z74" s="211"/>
      <c r="AA74" s="211"/>
      <c r="AB74" s="211"/>
      <c r="AC74" s="211"/>
      <c r="AD74" s="211"/>
      <c r="AE74" s="211"/>
      <c r="AF74" s="211"/>
      <c r="AG74" s="211"/>
      <c r="AH74" s="211"/>
      <c r="AI74" s="211"/>
      <c r="AJ74" s="211"/>
      <c r="AK74" s="211"/>
      <c r="AL74" s="211"/>
      <c r="AM74" s="211"/>
      <c r="AN74" s="211"/>
      <c r="AO74" s="211"/>
      <c r="AP74" s="211"/>
      <c r="AQ74" s="211"/>
      <c r="AR74" s="211"/>
      <c r="AS74" s="211"/>
      <c r="AT74" s="211"/>
      <c r="AU74" s="211"/>
      <c r="AV74" s="211"/>
      <c r="AW74" s="211"/>
      <c r="AX74" s="211"/>
      <c r="AY74" s="211"/>
      <c r="AZ74" s="211"/>
      <c r="BA74" s="211"/>
      <c r="BB74" s="211"/>
      <c r="BC74" s="211"/>
      <c r="BD74" s="211"/>
      <c r="BE74" s="211"/>
      <c r="BF74" s="211"/>
      <c r="BG74" s="211"/>
      <c r="BH74" s="211"/>
      <c r="BI74" s="211"/>
      <c r="BJ74" s="211"/>
      <c r="BK74" s="211"/>
      <c r="BL74" s="211"/>
      <c r="BM74" s="211"/>
      <c r="BN74" s="211"/>
      <c r="BO74" s="33"/>
      <c r="BP74" s="230">
        <f>COUNTIF(E74:H74,"X")</f>
        <v>0</v>
      </c>
      <c r="BQ74" s="163">
        <f>COUNTIF(E74:H74,"X/2")/2</f>
        <v>0</v>
      </c>
      <c r="BR74" s="273">
        <f t="shared" si="4"/>
        <v>0</v>
      </c>
      <c r="BS74" s="270">
        <v>360000</v>
      </c>
      <c r="BT74" s="53">
        <f t="shared" si="5"/>
        <v>0</v>
      </c>
      <c r="BU74" s="359"/>
    </row>
    <row r="75" spans="1:73" s="31" customFormat="1" x14ac:dyDescent="0.3">
      <c r="A75" s="61">
        <f t="shared" si="6"/>
        <v>71</v>
      </c>
      <c r="B75" s="116" t="s">
        <v>375</v>
      </c>
      <c r="C75" s="116"/>
      <c r="D75" s="205" t="s">
        <v>5</v>
      </c>
      <c r="E75" s="127"/>
      <c r="F75" s="32"/>
      <c r="G75" s="32"/>
      <c r="H75" s="32"/>
      <c r="I75" s="32"/>
      <c r="J75" s="32"/>
      <c r="K75" s="32"/>
      <c r="L75" s="32"/>
      <c r="M75" s="280"/>
      <c r="N75" s="32"/>
      <c r="O75" s="32"/>
      <c r="P75" s="32"/>
      <c r="Q75" s="32"/>
      <c r="R75" s="211"/>
      <c r="S75" s="211"/>
      <c r="T75" s="211"/>
      <c r="U75" s="211"/>
      <c r="V75" s="211"/>
      <c r="W75" s="211"/>
      <c r="X75" s="211"/>
      <c r="Y75" s="211"/>
      <c r="Z75" s="211"/>
      <c r="AA75" s="211"/>
      <c r="AB75" s="211"/>
      <c r="AC75" s="211"/>
      <c r="AD75" s="211"/>
      <c r="AE75" s="211"/>
      <c r="AF75" s="211"/>
      <c r="AG75" s="211"/>
      <c r="AH75" s="211"/>
      <c r="AI75" s="211"/>
      <c r="AJ75" s="211"/>
      <c r="AK75" s="211"/>
      <c r="AL75" s="211"/>
      <c r="AM75" s="211"/>
      <c r="AN75" s="211"/>
      <c r="AO75" s="211"/>
      <c r="AP75" s="211"/>
      <c r="AQ75" s="211"/>
      <c r="AR75" s="211"/>
      <c r="AS75" s="211"/>
      <c r="AT75" s="211"/>
      <c r="AU75" s="211"/>
      <c r="AV75" s="211"/>
      <c r="AW75" s="211"/>
      <c r="AX75" s="211"/>
      <c r="AY75" s="211"/>
      <c r="AZ75" s="211"/>
      <c r="BA75" s="211"/>
      <c r="BB75" s="211"/>
      <c r="BC75" s="211"/>
      <c r="BD75" s="211"/>
      <c r="BE75" s="211"/>
      <c r="BF75" s="211"/>
      <c r="BG75" s="211"/>
      <c r="BH75" s="211"/>
      <c r="BI75" s="211"/>
      <c r="BJ75" s="211"/>
      <c r="BK75" s="211"/>
      <c r="BL75" s="211"/>
      <c r="BM75" s="211"/>
      <c r="BN75" s="211"/>
      <c r="BO75" s="33"/>
      <c r="BP75" s="230">
        <f>COUNTIF(E75:H75,"X")</f>
        <v>0</v>
      </c>
      <c r="BQ75" s="163">
        <f>COUNTIF(E75:H75,"X/2")/2</f>
        <v>0</v>
      </c>
      <c r="BR75" s="273">
        <f t="shared" si="4"/>
        <v>0</v>
      </c>
      <c r="BS75" s="270">
        <v>260000</v>
      </c>
      <c r="BT75" s="53">
        <f t="shared" si="5"/>
        <v>0</v>
      </c>
      <c r="BU75" s="359"/>
    </row>
    <row r="76" spans="1:73" s="31" customFormat="1" x14ac:dyDescent="0.3">
      <c r="A76" s="61">
        <f t="shared" si="6"/>
        <v>72</v>
      </c>
      <c r="B76" s="159" t="s">
        <v>376</v>
      </c>
      <c r="C76" s="159"/>
      <c r="D76" s="206" t="s">
        <v>5</v>
      </c>
      <c r="E76" s="127"/>
      <c r="F76" s="227"/>
      <c r="G76" s="227"/>
      <c r="H76" s="227"/>
      <c r="I76" s="227"/>
      <c r="J76" s="227"/>
      <c r="K76" s="227"/>
      <c r="L76" s="227"/>
      <c r="M76" s="395"/>
      <c r="N76" s="227"/>
      <c r="O76" s="227"/>
      <c r="P76" s="227"/>
      <c r="Q76" s="227"/>
      <c r="R76" s="229"/>
      <c r="S76" s="229"/>
      <c r="T76" s="229"/>
      <c r="U76" s="229"/>
      <c r="V76" s="229"/>
      <c r="W76" s="229"/>
      <c r="X76" s="229"/>
      <c r="Y76" s="229"/>
      <c r="Z76" s="229"/>
      <c r="AA76" s="229"/>
      <c r="AB76" s="229"/>
      <c r="AC76" s="229"/>
      <c r="AD76" s="229"/>
      <c r="AE76" s="229"/>
      <c r="AF76" s="229"/>
      <c r="AG76" s="229"/>
      <c r="AH76" s="229"/>
      <c r="AI76" s="229"/>
      <c r="AJ76" s="229"/>
      <c r="AK76" s="229"/>
      <c r="AL76" s="229"/>
      <c r="AM76" s="229"/>
      <c r="AN76" s="229"/>
      <c r="AO76" s="229"/>
      <c r="AP76" s="229"/>
      <c r="AQ76" s="229"/>
      <c r="AR76" s="229"/>
      <c r="AS76" s="229"/>
      <c r="AT76" s="229"/>
      <c r="AU76" s="229"/>
      <c r="AV76" s="229"/>
      <c r="AW76" s="229"/>
      <c r="AX76" s="229"/>
      <c r="AY76" s="229"/>
      <c r="AZ76" s="229"/>
      <c r="BA76" s="229"/>
      <c r="BB76" s="229"/>
      <c r="BC76" s="229"/>
      <c r="BD76" s="229"/>
      <c r="BE76" s="229"/>
      <c r="BF76" s="229"/>
      <c r="BG76" s="229"/>
      <c r="BH76" s="229"/>
      <c r="BI76" s="229"/>
      <c r="BJ76" s="229"/>
      <c r="BK76" s="229"/>
      <c r="BL76" s="229"/>
      <c r="BM76" s="229"/>
      <c r="BN76" s="229"/>
      <c r="BO76" s="323"/>
      <c r="BP76" s="230">
        <f>COUNTIF(E76:H76,"X")</f>
        <v>0</v>
      </c>
      <c r="BQ76" s="163">
        <f>COUNTIF(E76:H76,"X/2")/2</f>
        <v>0</v>
      </c>
      <c r="BR76" s="273">
        <f t="shared" si="4"/>
        <v>0</v>
      </c>
      <c r="BS76" s="270">
        <v>260000</v>
      </c>
      <c r="BT76" s="53">
        <f t="shared" si="5"/>
        <v>0</v>
      </c>
      <c r="BU76" s="364"/>
    </row>
    <row r="77" spans="1:73" s="55" customFormat="1" x14ac:dyDescent="0.3">
      <c r="A77" s="61">
        <f t="shared" si="6"/>
        <v>73</v>
      </c>
      <c r="B77" s="29" t="s">
        <v>387</v>
      </c>
      <c r="C77" s="29"/>
      <c r="D77" s="210" t="s">
        <v>5</v>
      </c>
      <c r="E77" s="233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0"/>
      <c r="S77" s="210"/>
      <c r="T77" s="210"/>
      <c r="U77" s="210"/>
      <c r="V77" s="210"/>
      <c r="W77" s="210"/>
      <c r="X77" s="210"/>
      <c r="Y77" s="210"/>
      <c r="Z77" s="210"/>
      <c r="AA77" s="210"/>
      <c r="AB77" s="210"/>
      <c r="AC77" s="210"/>
      <c r="AD77" s="210"/>
      <c r="AE77" s="210"/>
      <c r="AF77" s="210"/>
      <c r="AG77" s="210"/>
      <c r="AH77" s="210"/>
      <c r="AI77" s="210"/>
      <c r="AJ77" s="210"/>
      <c r="AK77" s="210"/>
      <c r="AL77" s="210"/>
      <c r="AM77" s="210"/>
      <c r="AN77" s="210"/>
      <c r="AO77" s="210"/>
      <c r="AP77" s="210"/>
      <c r="AQ77" s="210"/>
      <c r="AR77" s="210"/>
      <c r="AS77" s="210"/>
      <c r="AT77" s="210"/>
      <c r="AU77" s="210"/>
      <c r="AV77" s="210"/>
      <c r="AW77" s="210"/>
      <c r="AX77" s="210"/>
      <c r="AY77" s="210"/>
      <c r="AZ77" s="210"/>
      <c r="BA77" s="210"/>
      <c r="BB77" s="210"/>
      <c r="BC77" s="210"/>
      <c r="BD77" s="210"/>
      <c r="BE77" s="210"/>
      <c r="BF77" s="210"/>
      <c r="BG77" s="210"/>
      <c r="BH77" s="210"/>
      <c r="BI77" s="210"/>
      <c r="BJ77" s="210"/>
      <c r="BK77" s="210"/>
      <c r="BL77" s="210"/>
      <c r="BM77" s="210"/>
      <c r="BN77" s="210"/>
      <c r="BO77" s="25"/>
      <c r="BP77" s="242">
        <f>COUNTIF(E77:BO77,"X")</f>
        <v>0</v>
      </c>
      <c r="BQ77" s="78">
        <f>COUNTIF(E77:H77,"X/2")/2</f>
        <v>0</v>
      </c>
      <c r="BR77" s="273">
        <f>SUM(BP77:BQ77)</f>
        <v>0</v>
      </c>
      <c r="BS77" s="269">
        <v>270000</v>
      </c>
      <c r="BT77" s="52">
        <f>BR77*BS77</f>
        <v>0</v>
      </c>
      <c r="BU77" s="365"/>
    </row>
    <row r="78" spans="1:73" s="55" customFormat="1" x14ac:dyDescent="0.3">
      <c r="A78" s="294">
        <f>A77+1</f>
        <v>74</v>
      </c>
      <c r="B78" s="29" t="s">
        <v>394</v>
      </c>
      <c r="C78" s="29"/>
      <c r="D78" s="210" t="s">
        <v>4</v>
      </c>
      <c r="E78" s="233"/>
      <c r="F78" s="21"/>
      <c r="G78" s="21"/>
      <c r="H78" s="21"/>
      <c r="I78" s="32"/>
      <c r="J78" s="32"/>
      <c r="K78" s="32"/>
      <c r="L78" s="32"/>
      <c r="M78" s="280"/>
      <c r="N78" s="32"/>
      <c r="O78" s="32"/>
      <c r="P78" s="32"/>
      <c r="Q78" s="32"/>
      <c r="R78" s="211"/>
      <c r="S78" s="211"/>
      <c r="T78" s="211"/>
      <c r="U78" s="211"/>
      <c r="V78" s="211"/>
      <c r="W78" s="211"/>
      <c r="X78" s="211"/>
      <c r="Y78" s="211"/>
      <c r="Z78" s="211"/>
      <c r="AA78" s="211"/>
      <c r="AB78" s="211"/>
      <c r="AC78" s="211"/>
      <c r="AD78" s="211"/>
      <c r="AE78" s="211"/>
      <c r="AF78" s="211"/>
      <c r="AG78" s="211"/>
      <c r="AH78" s="211"/>
      <c r="AI78" s="211"/>
      <c r="AJ78" s="211"/>
      <c r="AK78" s="211"/>
      <c r="AL78" s="211"/>
      <c r="AM78" s="211"/>
      <c r="AN78" s="211"/>
      <c r="AO78" s="211"/>
      <c r="AP78" s="211"/>
      <c r="AQ78" s="211"/>
      <c r="AR78" s="211"/>
      <c r="AS78" s="211"/>
      <c r="AT78" s="211"/>
      <c r="AU78" s="211"/>
      <c r="AV78" s="211"/>
      <c r="AW78" s="211"/>
      <c r="AX78" s="211"/>
      <c r="AY78" s="211"/>
      <c r="AZ78" s="211"/>
      <c r="BA78" s="211"/>
      <c r="BB78" s="211"/>
      <c r="BC78" s="211"/>
      <c r="BD78" s="211"/>
      <c r="BE78" s="211"/>
      <c r="BF78" s="211"/>
      <c r="BG78" s="211"/>
      <c r="BH78" s="211"/>
      <c r="BI78" s="211"/>
      <c r="BJ78" s="211"/>
      <c r="BK78" s="211"/>
      <c r="BL78" s="211"/>
      <c r="BM78" s="211"/>
      <c r="BN78" s="211"/>
      <c r="BO78" s="33"/>
      <c r="BP78" s="230">
        <f>COUNTIF(E78:H78,"X")</f>
        <v>0</v>
      </c>
      <c r="BQ78" s="163">
        <f>COUNTIF(E78:H78,"X/2")/2</f>
        <v>0</v>
      </c>
      <c r="BR78" s="273">
        <f t="shared" si="4"/>
        <v>0</v>
      </c>
      <c r="BS78" s="269">
        <v>400000</v>
      </c>
      <c r="BT78" s="53">
        <f t="shared" si="5"/>
        <v>0</v>
      </c>
      <c r="BU78" s="364"/>
    </row>
    <row r="79" spans="1:73" s="55" customFormat="1" x14ac:dyDescent="0.3">
      <c r="A79" s="61">
        <f t="shared" si="6"/>
        <v>75</v>
      </c>
      <c r="B79" s="29" t="s">
        <v>388</v>
      </c>
      <c r="C79" s="29"/>
      <c r="D79" s="210" t="s">
        <v>5</v>
      </c>
      <c r="E79" s="233"/>
      <c r="F79" s="21"/>
      <c r="G79" s="21"/>
      <c r="H79" s="21"/>
      <c r="I79" s="32"/>
      <c r="J79" s="32"/>
      <c r="K79" s="32"/>
      <c r="L79" s="32"/>
      <c r="M79" s="280"/>
      <c r="N79" s="32"/>
      <c r="O79" s="32"/>
      <c r="P79" s="32"/>
      <c r="Q79" s="32"/>
      <c r="R79" s="211"/>
      <c r="S79" s="211"/>
      <c r="T79" s="211"/>
      <c r="U79" s="211"/>
      <c r="V79" s="211"/>
      <c r="W79" s="211"/>
      <c r="X79" s="211"/>
      <c r="Y79" s="211"/>
      <c r="Z79" s="211"/>
      <c r="AA79" s="211"/>
      <c r="AB79" s="211"/>
      <c r="AC79" s="211"/>
      <c r="AD79" s="211"/>
      <c r="AE79" s="211"/>
      <c r="AF79" s="211"/>
      <c r="AG79" s="211"/>
      <c r="AH79" s="211"/>
      <c r="AI79" s="211"/>
      <c r="AJ79" s="211"/>
      <c r="AK79" s="211"/>
      <c r="AL79" s="211"/>
      <c r="AM79" s="211"/>
      <c r="AN79" s="211"/>
      <c r="AO79" s="211"/>
      <c r="AP79" s="211"/>
      <c r="AQ79" s="211"/>
      <c r="AR79" s="211"/>
      <c r="AS79" s="211"/>
      <c r="AT79" s="211"/>
      <c r="AU79" s="211"/>
      <c r="AV79" s="211"/>
      <c r="AW79" s="211"/>
      <c r="AX79" s="211"/>
      <c r="AY79" s="211"/>
      <c r="AZ79" s="211"/>
      <c r="BA79" s="211"/>
      <c r="BB79" s="211"/>
      <c r="BC79" s="211"/>
      <c r="BD79" s="211"/>
      <c r="BE79" s="211"/>
      <c r="BF79" s="211"/>
      <c r="BG79" s="211"/>
      <c r="BH79" s="211"/>
      <c r="BI79" s="211"/>
      <c r="BJ79" s="211"/>
      <c r="BK79" s="211"/>
      <c r="BL79" s="211"/>
      <c r="BM79" s="211"/>
      <c r="BN79" s="211"/>
      <c r="BO79" s="33"/>
      <c r="BP79" s="230">
        <f>COUNTIF(E79:H79,"X")</f>
        <v>0</v>
      </c>
      <c r="BQ79" s="163">
        <f>COUNTIF(E79:H79,"X/2")/2</f>
        <v>0</v>
      </c>
      <c r="BR79" s="273">
        <f t="shared" si="4"/>
        <v>0</v>
      </c>
      <c r="BS79" s="269">
        <v>270000</v>
      </c>
      <c r="BT79" s="53">
        <f t="shared" si="5"/>
        <v>0</v>
      </c>
      <c r="BU79" s="364"/>
    </row>
    <row r="80" spans="1:73" s="55" customFormat="1" x14ac:dyDescent="0.3">
      <c r="A80" s="61">
        <f t="shared" si="6"/>
        <v>76</v>
      </c>
      <c r="B80" s="29" t="s">
        <v>389</v>
      </c>
      <c r="C80" s="29"/>
      <c r="D80" s="210" t="s">
        <v>4</v>
      </c>
      <c r="E80" s="233"/>
      <c r="F80" s="21"/>
      <c r="G80" s="21"/>
      <c r="H80" s="21"/>
      <c r="I80" s="32"/>
      <c r="J80" s="32"/>
      <c r="K80" s="32"/>
      <c r="L80" s="32"/>
      <c r="M80" s="32"/>
      <c r="N80" s="32"/>
      <c r="O80" s="32"/>
      <c r="P80" s="32"/>
      <c r="Q80" s="32"/>
      <c r="R80" s="211"/>
      <c r="S80" s="282"/>
      <c r="T80" s="211"/>
      <c r="U80" s="211"/>
      <c r="V80" s="211"/>
      <c r="W80" s="211"/>
      <c r="X80" s="211"/>
      <c r="Y80" s="211"/>
      <c r="Z80" s="211"/>
      <c r="AA80" s="211"/>
      <c r="AB80" s="211"/>
      <c r="AC80" s="211"/>
      <c r="AD80" s="211"/>
      <c r="AE80" s="211"/>
      <c r="AF80" s="211"/>
      <c r="AG80" s="211"/>
      <c r="AH80" s="211"/>
      <c r="AI80" s="211"/>
      <c r="AJ80" s="211"/>
      <c r="AK80" s="211"/>
      <c r="AL80" s="211"/>
      <c r="AM80" s="211"/>
      <c r="AN80" s="211"/>
      <c r="AO80" s="211"/>
      <c r="AP80" s="211"/>
      <c r="AQ80" s="211"/>
      <c r="AR80" s="211" t="s">
        <v>9</v>
      </c>
      <c r="AS80" s="211" t="s">
        <v>9</v>
      </c>
      <c r="AT80" s="211"/>
      <c r="AU80" s="211"/>
      <c r="AV80" s="211"/>
      <c r="AW80" s="211"/>
      <c r="AX80" s="211"/>
      <c r="AY80" s="211"/>
      <c r="AZ80" s="211"/>
      <c r="BA80" s="211"/>
      <c r="BB80" s="211"/>
      <c r="BC80" s="211"/>
      <c r="BD80" s="211"/>
      <c r="BE80" s="211"/>
      <c r="BF80" s="211"/>
      <c r="BG80" s="211"/>
      <c r="BH80" s="211"/>
      <c r="BI80" s="211"/>
      <c r="BJ80" s="211"/>
      <c r="BK80" s="211"/>
      <c r="BL80" s="211"/>
      <c r="BM80" s="211"/>
      <c r="BN80" s="211"/>
      <c r="BO80" s="33"/>
      <c r="BP80" s="242">
        <f>COUNTIF(E80:BO80,"X")</f>
        <v>2</v>
      </c>
      <c r="BQ80" s="163">
        <f>COUNTIF(E80:H80,"X/2")/2</f>
        <v>0</v>
      </c>
      <c r="BR80" s="273">
        <f t="shared" si="4"/>
        <v>2</v>
      </c>
      <c r="BS80" s="269">
        <v>320000</v>
      </c>
      <c r="BT80" s="53">
        <f t="shared" si="5"/>
        <v>640000</v>
      </c>
      <c r="BU80" s="364"/>
    </row>
    <row r="81" spans="1:74" s="55" customFormat="1" x14ac:dyDescent="0.3">
      <c r="A81" s="61">
        <f t="shared" si="6"/>
        <v>77</v>
      </c>
      <c r="B81" s="29" t="s">
        <v>390</v>
      </c>
      <c r="C81" s="29"/>
      <c r="D81" s="210" t="s">
        <v>5</v>
      </c>
      <c r="E81" s="233"/>
      <c r="F81" s="21"/>
      <c r="G81" s="21"/>
      <c r="H81" s="21"/>
      <c r="I81" s="32"/>
      <c r="J81" s="32"/>
      <c r="K81" s="32"/>
      <c r="L81" s="32"/>
      <c r="M81" s="280"/>
      <c r="N81" s="32"/>
      <c r="O81" s="32"/>
      <c r="P81" s="32"/>
      <c r="Q81" s="32"/>
      <c r="R81" s="211"/>
      <c r="S81" s="211"/>
      <c r="T81" s="211"/>
      <c r="U81" s="211"/>
      <c r="V81" s="211"/>
      <c r="W81" s="211"/>
      <c r="X81" s="211"/>
      <c r="Y81" s="211"/>
      <c r="Z81" s="211"/>
      <c r="AA81" s="211"/>
      <c r="AB81" s="211"/>
      <c r="AC81" s="211"/>
      <c r="AD81" s="211"/>
      <c r="AE81" s="211"/>
      <c r="AF81" s="211"/>
      <c r="AG81" s="211"/>
      <c r="AH81" s="211"/>
      <c r="AI81" s="211"/>
      <c r="AJ81" s="211"/>
      <c r="AK81" s="211"/>
      <c r="AL81" s="211"/>
      <c r="AM81" s="211"/>
      <c r="AN81" s="211"/>
      <c r="AO81" s="211"/>
      <c r="AP81" s="211"/>
      <c r="AQ81" s="211"/>
      <c r="AR81" s="211"/>
      <c r="AS81" s="211"/>
      <c r="AT81" s="211"/>
      <c r="AU81" s="211"/>
      <c r="AV81" s="211"/>
      <c r="AW81" s="211"/>
      <c r="AX81" s="211"/>
      <c r="AY81" s="211"/>
      <c r="AZ81" s="211"/>
      <c r="BA81" s="211"/>
      <c r="BB81" s="211"/>
      <c r="BC81" s="211"/>
      <c r="BD81" s="211"/>
      <c r="BE81" s="211"/>
      <c r="BF81" s="211"/>
      <c r="BG81" s="211"/>
      <c r="BH81" s="211"/>
      <c r="BI81" s="211"/>
      <c r="BJ81" s="211"/>
      <c r="BK81" s="211"/>
      <c r="BL81" s="211"/>
      <c r="BM81" s="211"/>
      <c r="BN81" s="211"/>
      <c r="BO81" s="33"/>
      <c r="BP81" s="230">
        <f>COUNTIF(E81:H81,"X")</f>
        <v>0</v>
      </c>
      <c r="BQ81" s="163">
        <f>COUNTIF(E81:H81,"X/2")/2</f>
        <v>0</v>
      </c>
      <c r="BR81" s="273">
        <f t="shared" si="4"/>
        <v>0</v>
      </c>
      <c r="BS81" s="269">
        <v>270000</v>
      </c>
      <c r="BT81" s="53">
        <f t="shared" si="5"/>
        <v>0</v>
      </c>
      <c r="BU81" s="364"/>
    </row>
    <row r="82" spans="1:74" s="55" customFormat="1" x14ac:dyDescent="0.3">
      <c r="A82" s="61">
        <f t="shared" si="6"/>
        <v>78</v>
      </c>
      <c r="B82" s="29" t="s">
        <v>391</v>
      </c>
      <c r="C82" s="29"/>
      <c r="D82" s="210" t="s">
        <v>4</v>
      </c>
      <c r="E82" s="233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1"/>
      <c r="AZ82" s="211"/>
      <c r="BA82" s="211"/>
      <c r="BB82" s="211"/>
      <c r="BC82" s="211"/>
      <c r="BD82" s="211"/>
      <c r="BE82" s="211"/>
      <c r="BF82" s="211"/>
      <c r="BG82" s="211"/>
      <c r="BH82" s="211"/>
      <c r="BI82" s="211"/>
      <c r="BJ82" s="211"/>
      <c r="BK82" s="211"/>
      <c r="BL82" s="211"/>
      <c r="BM82" s="211"/>
      <c r="BN82" s="211"/>
      <c r="BO82" s="33"/>
      <c r="BP82" s="242">
        <f>COUNTIF(E82:BO82,"X")</f>
        <v>0</v>
      </c>
      <c r="BQ82" s="163">
        <f>COUNTIF(E82:H82,"X/2")/2</f>
        <v>0</v>
      </c>
      <c r="BR82" s="273">
        <f t="shared" si="4"/>
        <v>0</v>
      </c>
      <c r="BS82" s="269">
        <v>360000</v>
      </c>
      <c r="BT82" s="53">
        <f t="shared" si="5"/>
        <v>0</v>
      </c>
      <c r="BU82" s="364"/>
    </row>
    <row r="83" spans="1:74" s="55" customFormat="1" x14ac:dyDescent="0.3">
      <c r="A83" s="61">
        <f t="shared" si="6"/>
        <v>79</v>
      </c>
      <c r="B83" s="29" t="s">
        <v>392</v>
      </c>
      <c r="C83" s="353"/>
      <c r="D83" s="203" t="s">
        <v>5</v>
      </c>
      <c r="E83" s="41"/>
      <c r="F83" s="21"/>
      <c r="G83" s="21"/>
      <c r="H83" s="21"/>
      <c r="I83" s="21"/>
      <c r="J83" s="21"/>
      <c r="K83" s="21"/>
      <c r="L83" s="21"/>
      <c r="M83" s="146"/>
      <c r="N83" s="21"/>
      <c r="O83" s="21"/>
      <c r="P83" s="21"/>
      <c r="Q83" s="21"/>
      <c r="R83" s="210"/>
      <c r="S83" s="210"/>
      <c r="T83" s="210"/>
      <c r="U83" s="210"/>
      <c r="V83" s="210"/>
      <c r="W83" s="210"/>
      <c r="X83" s="210"/>
      <c r="Y83" s="210"/>
      <c r="Z83" s="210"/>
      <c r="AA83" s="210"/>
      <c r="AB83" s="210"/>
      <c r="AC83" s="210"/>
      <c r="AD83" s="210"/>
      <c r="AE83" s="210"/>
      <c r="AF83" s="210"/>
      <c r="AG83" s="210"/>
      <c r="AH83" s="210"/>
      <c r="AI83" s="210"/>
      <c r="AJ83" s="210"/>
      <c r="AK83" s="210"/>
      <c r="AL83" s="210"/>
      <c r="AM83" s="210"/>
      <c r="AN83" s="210"/>
      <c r="AO83" s="210"/>
      <c r="AP83" s="210"/>
      <c r="AQ83" s="210"/>
      <c r="AR83" s="210"/>
      <c r="AS83" s="210"/>
      <c r="AT83" s="210"/>
      <c r="AU83" s="210"/>
      <c r="AV83" s="210"/>
      <c r="AW83" s="210"/>
      <c r="AX83" s="210"/>
      <c r="AY83" s="210"/>
      <c r="AZ83" s="210"/>
      <c r="BA83" s="210"/>
      <c r="BB83" s="210"/>
      <c r="BC83" s="210"/>
      <c r="BD83" s="210"/>
      <c r="BE83" s="210"/>
      <c r="BF83" s="210"/>
      <c r="BG83" s="210"/>
      <c r="BH83" s="210"/>
      <c r="BI83" s="210"/>
      <c r="BJ83" s="210"/>
      <c r="BK83" s="210"/>
      <c r="BL83" s="210"/>
      <c r="BM83" s="210"/>
      <c r="BN83" s="210"/>
      <c r="BO83" s="25"/>
      <c r="BP83" s="242">
        <f>COUNTIF(E83:H83,"X")</f>
        <v>0</v>
      </c>
      <c r="BQ83" s="78">
        <f>COUNTIF(E83:H83,"X/2")/2</f>
        <v>0</v>
      </c>
      <c r="BR83" s="273">
        <f t="shared" si="4"/>
        <v>0</v>
      </c>
      <c r="BS83" s="269">
        <v>270000</v>
      </c>
      <c r="BT83" s="52">
        <f t="shared" si="5"/>
        <v>0</v>
      </c>
      <c r="BU83" s="364"/>
    </row>
    <row r="84" spans="1:74" s="55" customFormat="1" x14ac:dyDescent="0.3">
      <c r="A84" s="61">
        <f t="shared" si="6"/>
        <v>80</v>
      </c>
      <c r="B84" s="344" t="s">
        <v>397</v>
      </c>
      <c r="C84" s="345"/>
      <c r="D84" s="346" t="s">
        <v>5</v>
      </c>
      <c r="E84" s="347"/>
      <c r="F84" s="349"/>
      <c r="G84" s="349"/>
      <c r="H84" s="349"/>
      <c r="I84" s="349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 t="s">
        <v>9</v>
      </c>
      <c r="AT84" s="21"/>
      <c r="AU84" s="21"/>
      <c r="AV84" s="21"/>
      <c r="AW84" s="21"/>
      <c r="AX84" s="21"/>
      <c r="AY84" s="350"/>
      <c r="AZ84" s="350"/>
      <c r="BA84" s="350"/>
      <c r="BB84" s="350"/>
      <c r="BC84" s="350"/>
      <c r="BD84" s="350"/>
      <c r="BE84" s="350"/>
      <c r="BF84" s="350"/>
      <c r="BG84" s="350"/>
      <c r="BH84" s="350"/>
      <c r="BI84" s="350"/>
      <c r="BJ84" s="350"/>
      <c r="BK84" s="350"/>
      <c r="BL84" s="350"/>
      <c r="BM84" s="350"/>
      <c r="BN84" s="350"/>
      <c r="BO84" s="351"/>
      <c r="BP84" s="242">
        <f>COUNTIF(E84:BO84,"X")</f>
        <v>1</v>
      </c>
      <c r="BQ84" s="78">
        <f>COUNTIF(E84:H84,"X/2")/2</f>
        <v>0</v>
      </c>
      <c r="BR84" s="273">
        <f t="shared" si="4"/>
        <v>1</v>
      </c>
      <c r="BS84" s="268">
        <v>270000</v>
      </c>
      <c r="BT84" s="52">
        <f t="shared" si="5"/>
        <v>270000</v>
      </c>
      <c r="BU84" s="366"/>
    </row>
    <row r="85" spans="1:74" s="55" customFormat="1" ht="16.2" thickBot="1" x14ac:dyDescent="0.35">
      <c r="A85" s="324"/>
      <c r="B85" s="306"/>
      <c r="C85" s="307"/>
      <c r="D85" s="308"/>
      <c r="E85" s="309"/>
      <c r="F85" s="312"/>
      <c r="G85" s="312"/>
      <c r="H85" s="380"/>
      <c r="I85" s="308"/>
      <c r="J85" s="308"/>
      <c r="K85" s="308"/>
      <c r="L85" s="308"/>
      <c r="M85" s="308"/>
      <c r="N85" s="308"/>
      <c r="O85" s="308"/>
      <c r="P85" s="308"/>
      <c r="Q85" s="308"/>
      <c r="R85" s="308"/>
      <c r="S85" s="308"/>
      <c r="T85" s="308"/>
      <c r="U85" s="308"/>
      <c r="V85" s="308"/>
      <c r="W85" s="308"/>
      <c r="X85" s="308"/>
      <c r="Y85" s="308"/>
      <c r="Z85" s="308"/>
      <c r="AA85" s="308"/>
      <c r="AB85" s="308"/>
      <c r="AC85" s="308"/>
      <c r="AD85" s="308"/>
      <c r="AE85" s="308"/>
      <c r="AF85" s="308"/>
      <c r="AG85" s="308"/>
      <c r="AH85" s="308"/>
      <c r="AI85" s="308"/>
      <c r="AJ85" s="308"/>
      <c r="AK85" s="308"/>
      <c r="AL85" s="308"/>
      <c r="AM85" s="308"/>
      <c r="AN85" s="308"/>
      <c r="AO85" s="308"/>
      <c r="AP85" s="308"/>
      <c r="AQ85" s="308"/>
      <c r="AR85" s="308"/>
      <c r="AS85" s="308"/>
      <c r="AT85" s="308"/>
      <c r="AU85" s="308"/>
      <c r="AV85" s="308"/>
      <c r="AW85" s="308"/>
      <c r="AX85" s="308"/>
      <c r="AY85" s="308"/>
      <c r="AZ85" s="308"/>
      <c r="BA85" s="308"/>
      <c r="BB85" s="308"/>
      <c r="BC85" s="308"/>
      <c r="BD85" s="308"/>
      <c r="BE85" s="308"/>
      <c r="BF85" s="308"/>
      <c r="BG85" s="308"/>
      <c r="BH85" s="308"/>
      <c r="BI85" s="308"/>
      <c r="BJ85" s="308"/>
      <c r="BK85" s="308"/>
      <c r="BL85" s="308"/>
      <c r="BM85" s="308"/>
      <c r="BN85" s="308"/>
      <c r="BO85" s="308"/>
      <c r="BP85" s="245"/>
      <c r="BQ85" s="267"/>
      <c r="BR85" s="274"/>
      <c r="BS85" s="313"/>
      <c r="BT85" s="316"/>
      <c r="BU85" s="365"/>
    </row>
    <row r="86" spans="1:74" s="31" customFormat="1" ht="16.2" thickBot="1" x14ac:dyDescent="0.35">
      <c r="A86" s="327"/>
      <c r="B86" s="328"/>
      <c r="C86" s="329"/>
      <c r="D86" s="330"/>
      <c r="E86" s="331">
        <f>SUBTOTAL(103,E5:E76)</f>
        <v>0</v>
      </c>
      <c r="F86" s="332">
        <f t="shared" ref="F86:BQ86" si="7">SUBTOTAL(103,F5:F83)</f>
        <v>0</v>
      </c>
      <c r="G86" s="332">
        <f t="shared" si="7"/>
        <v>0</v>
      </c>
      <c r="H86" s="332">
        <f t="shared" si="7"/>
        <v>0</v>
      </c>
      <c r="I86" s="332">
        <f t="shared" si="7"/>
        <v>0</v>
      </c>
      <c r="J86" s="332">
        <f t="shared" si="7"/>
        <v>0</v>
      </c>
      <c r="K86" s="332">
        <f t="shared" si="7"/>
        <v>0</v>
      </c>
      <c r="L86" s="332">
        <f t="shared" si="7"/>
        <v>0</v>
      </c>
      <c r="M86" s="397">
        <f t="shared" si="7"/>
        <v>0</v>
      </c>
      <c r="N86" s="332">
        <f t="shared" si="7"/>
        <v>0</v>
      </c>
      <c r="O86" s="332">
        <f t="shared" si="7"/>
        <v>0</v>
      </c>
      <c r="P86" s="332">
        <f t="shared" si="7"/>
        <v>0</v>
      </c>
      <c r="Q86" s="332">
        <f t="shared" si="7"/>
        <v>0</v>
      </c>
      <c r="R86" s="332">
        <f t="shared" si="7"/>
        <v>0</v>
      </c>
      <c r="S86" s="332">
        <f t="shared" si="7"/>
        <v>0</v>
      </c>
      <c r="T86" s="332">
        <f t="shared" si="7"/>
        <v>0</v>
      </c>
      <c r="U86" s="332">
        <f t="shared" si="7"/>
        <v>0</v>
      </c>
      <c r="V86" s="332">
        <f t="shared" si="7"/>
        <v>0</v>
      </c>
      <c r="W86" s="332">
        <f t="shared" si="7"/>
        <v>0</v>
      </c>
      <c r="X86" s="332">
        <f t="shared" si="7"/>
        <v>0</v>
      </c>
      <c r="Y86" s="332">
        <f t="shared" si="7"/>
        <v>0</v>
      </c>
      <c r="Z86" s="332">
        <f t="shared" si="7"/>
        <v>0</v>
      </c>
      <c r="AA86" s="332">
        <f t="shared" si="7"/>
        <v>0</v>
      </c>
      <c r="AB86" s="332">
        <f t="shared" si="7"/>
        <v>0</v>
      </c>
      <c r="AC86" s="332">
        <f t="shared" si="7"/>
        <v>0</v>
      </c>
      <c r="AD86" s="332">
        <f t="shared" si="7"/>
        <v>0</v>
      </c>
      <c r="AE86" s="332">
        <f t="shared" si="7"/>
        <v>0</v>
      </c>
      <c r="AF86" s="332">
        <f t="shared" si="7"/>
        <v>0</v>
      </c>
      <c r="AG86" s="332">
        <f t="shared" si="7"/>
        <v>0</v>
      </c>
      <c r="AH86" s="332">
        <f t="shared" si="7"/>
        <v>0</v>
      </c>
      <c r="AI86" s="332">
        <f t="shared" si="7"/>
        <v>0</v>
      </c>
      <c r="AJ86" s="332">
        <f t="shared" si="7"/>
        <v>0</v>
      </c>
      <c r="AK86" s="332">
        <f t="shared" si="7"/>
        <v>0</v>
      </c>
      <c r="AL86" s="332">
        <f t="shared" si="7"/>
        <v>0</v>
      </c>
      <c r="AM86" s="332">
        <f t="shared" si="7"/>
        <v>0</v>
      </c>
      <c r="AN86" s="332">
        <f t="shared" si="7"/>
        <v>0</v>
      </c>
      <c r="AO86" s="332">
        <f t="shared" si="7"/>
        <v>0</v>
      </c>
      <c r="AP86" s="332">
        <f t="shared" si="7"/>
        <v>0</v>
      </c>
      <c r="AQ86" s="332">
        <f t="shared" si="7"/>
        <v>0</v>
      </c>
      <c r="AR86" s="332">
        <f t="shared" si="7"/>
        <v>6</v>
      </c>
      <c r="AS86" s="332">
        <f t="shared" si="7"/>
        <v>3</v>
      </c>
      <c r="AT86" s="332">
        <f t="shared" si="7"/>
        <v>0</v>
      </c>
      <c r="AU86" s="332">
        <f t="shared" si="7"/>
        <v>0</v>
      </c>
      <c r="AV86" s="332">
        <f t="shared" si="7"/>
        <v>0</v>
      </c>
      <c r="AW86" s="332">
        <f t="shared" si="7"/>
        <v>0</v>
      </c>
      <c r="AX86" s="332">
        <f t="shared" si="7"/>
        <v>0</v>
      </c>
      <c r="AY86" s="332">
        <f t="shared" si="7"/>
        <v>0</v>
      </c>
      <c r="AZ86" s="332">
        <f t="shared" si="7"/>
        <v>0</v>
      </c>
      <c r="BA86" s="332">
        <f t="shared" si="7"/>
        <v>0</v>
      </c>
      <c r="BB86" s="332">
        <f t="shared" si="7"/>
        <v>0</v>
      </c>
      <c r="BC86" s="332">
        <f t="shared" si="7"/>
        <v>0</v>
      </c>
      <c r="BD86" s="332">
        <f t="shared" si="7"/>
        <v>0</v>
      </c>
      <c r="BE86" s="332">
        <f t="shared" si="7"/>
        <v>0</v>
      </c>
      <c r="BF86" s="332">
        <f t="shared" si="7"/>
        <v>0</v>
      </c>
      <c r="BG86" s="332">
        <f t="shared" si="7"/>
        <v>0</v>
      </c>
      <c r="BH86" s="332">
        <f t="shared" si="7"/>
        <v>0</v>
      </c>
      <c r="BI86" s="332">
        <f t="shared" si="7"/>
        <v>0</v>
      </c>
      <c r="BJ86" s="332">
        <f t="shared" si="7"/>
        <v>0</v>
      </c>
      <c r="BK86" s="332">
        <f t="shared" si="7"/>
        <v>0</v>
      </c>
      <c r="BL86" s="332">
        <f t="shared" si="7"/>
        <v>0</v>
      </c>
      <c r="BM86" s="332">
        <f t="shared" si="7"/>
        <v>0</v>
      </c>
      <c r="BN86" s="332">
        <f t="shared" si="7"/>
        <v>0</v>
      </c>
      <c r="BO86" s="332">
        <f t="shared" si="7"/>
        <v>0</v>
      </c>
      <c r="BP86" s="332">
        <f t="shared" si="7"/>
        <v>79</v>
      </c>
      <c r="BQ86" s="332">
        <f t="shared" si="7"/>
        <v>79</v>
      </c>
      <c r="BR86" s="332">
        <f t="shared" ref="BR86:BS86" si="8">SUBTOTAL(103,BR5:BR83)</f>
        <v>79</v>
      </c>
      <c r="BS86" s="332">
        <f t="shared" si="8"/>
        <v>79</v>
      </c>
      <c r="BT86" s="337">
        <f>SUBTOTAL(109,BT5:BT84)</f>
        <v>3080000</v>
      </c>
      <c r="BU86" s="338">
        <f>SUBTOTAL(109,BU5:BU85)</f>
        <v>0</v>
      </c>
      <c r="BV86" s="208"/>
    </row>
    <row r="87" spans="1:74" x14ac:dyDescent="0.3">
      <c r="BT87" s="76"/>
      <c r="BU87" s="368">
        <f>BT86-BU86</f>
        <v>3080000</v>
      </c>
    </row>
    <row r="88" spans="1:74" x14ac:dyDescent="0.3">
      <c r="BT88" s="76"/>
      <c r="BU88" s="76"/>
    </row>
    <row r="89" spans="1:74" x14ac:dyDescent="0.3">
      <c r="BT89" s="76"/>
    </row>
    <row r="90" spans="1:74" s="6" customFormat="1" x14ac:dyDescent="0.3">
      <c r="A90" s="487" t="s">
        <v>399</v>
      </c>
      <c r="B90" s="488"/>
      <c r="C90" s="488"/>
      <c r="D90" s="488"/>
      <c r="E90" s="488"/>
      <c r="F90" s="488"/>
      <c r="G90" s="488"/>
      <c r="H90" s="488"/>
      <c r="I90" s="488"/>
      <c r="J90" s="382"/>
      <c r="K90" s="382"/>
      <c r="L90" s="382"/>
      <c r="M90" s="399"/>
      <c r="N90" s="382"/>
      <c r="O90" s="382"/>
      <c r="P90" s="382"/>
      <c r="Q90" s="382"/>
      <c r="R90" s="382"/>
      <c r="S90" s="382"/>
      <c r="T90" s="382"/>
      <c r="U90" s="382"/>
      <c r="V90" s="382"/>
      <c r="W90" s="382"/>
      <c r="X90" s="382"/>
      <c r="Y90" s="382"/>
      <c r="Z90" s="382"/>
      <c r="AA90" s="382"/>
      <c r="AB90" s="382"/>
      <c r="AC90" s="382"/>
      <c r="AD90" s="382"/>
      <c r="AE90" s="382"/>
      <c r="AF90" s="382"/>
      <c r="AG90" s="382"/>
      <c r="AH90" s="382"/>
      <c r="AI90" s="382"/>
      <c r="AJ90" s="382"/>
      <c r="AK90" s="382"/>
      <c r="AL90" s="382"/>
      <c r="AM90" s="382"/>
      <c r="AN90" s="382"/>
      <c r="AO90" s="382"/>
      <c r="AP90" s="382"/>
      <c r="AQ90" s="382"/>
      <c r="AR90" s="382"/>
      <c r="AS90" s="382"/>
      <c r="AT90" s="382"/>
      <c r="AU90" s="382"/>
      <c r="AV90" s="382"/>
      <c r="AW90" s="382"/>
      <c r="AX90" s="382"/>
      <c r="AY90" s="382"/>
      <c r="AZ90" s="382"/>
      <c r="BA90" s="382"/>
      <c r="BB90" s="382"/>
      <c r="BC90" s="382"/>
      <c r="BD90" s="382"/>
      <c r="BE90" s="382"/>
      <c r="BF90" s="382"/>
      <c r="BG90" s="382"/>
      <c r="BH90" s="382"/>
      <c r="BI90" s="382"/>
      <c r="BJ90" s="382"/>
      <c r="BK90" s="382"/>
      <c r="BL90" s="382"/>
      <c r="BM90" s="382"/>
      <c r="BN90" s="382"/>
      <c r="BO90" s="382"/>
      <c r="BP90" s="382"/>
      <c r="BQ90" s="382"/>
      <c r="BR90" s="382"/>
    </row>
    <row r="91" spans="1:74" s="6" customFormat="1" x14ac:dyDescent="0.3">
      <c r="A91" s="383" t="s">
        <v>319</v>
      </c>
      <c r="B91" s="496" t="s">
        <v>400</v>
      </c>
      <c r="C91" s="497"/>
      <c r="D91" s="498"/>
      <c r="E91" s="381"/>
      <c r="F91" s="496" t="s">
        <v>12</v>
      </c>
      <c r="G91" s="497"/>
      <c r="H91" s="497"/>
      <c r="I91" s="498"/>
      <c r="J91" s="382"/>
      <c r="K91" s="382"/>
      <c r="L91" s="382"/>
      <c r="M91" s="399"/>
      <c r="N91" s="382"/>
      <c r="O91" s="382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82"/>
      <c r="AH91" s="382"/>
      <c r="AI91" s="382"/>
      <c r="AJ91" s="382"/>
      <c r="AK91" s="382"/>
      <c r="AL91" s="382"/>
      <c r="AM91" s="382"/>
      <c r="AN91" s="382"/>
      <c r="AO91" s="382"/>
      <c r="AP91" s="382"/>
      <c r="AQ91" s="382"/>
      <c r="AR91" s="382"/>
      <c r="AS91" s="382"/>
      <c r="AT91" s="382"/>
      <c r="AU91" s="382"/>
      <c r="AV91" s="382"/>
      <c r="AW91" s="382"/>
      <c r="AX91" s="382"/>
      <c r="AY91" s="382"/>
      <c r="AZ91" s="382"/>
      <c r="BA91" s="382"/>
      <c r="BB91" s="382"/>
      <c r="BC91" s="382"/>
      <c r="BD91" s="382"/>
      <c r="BE91" s="382"/>
      <c r="BF91" s="382"/>
      <c r="BG91" s="382"/>
      <c r="BH91" s="382"/>
      <c r="BI91" s="382"/>
      <c r="BJ91" s="382"/>
      <c r="BK91" s="382"/>
      <c r="BL91" s="382"/>
      <c r="BM91" s="382"/>
      <c r="BN91" s="382"/>
      <c r="BO91" s="382"/>
      <c r="BP91" s="382"/>
      <c r="BQ91" s="382"/>
      <c r="BR91" s="382"/>
    </row>
    <row r="92" spans="1:74" x14ac:dyDescent="0.3">
      <c r="A92" s="384">
        <v>1</v>
      </c>
      <c r="B92" s="493" t="s">
        <v>401</v>
      </c>
      <c r="C92" s="494"/>
      <c r="D92" s="495"/>
      <c r="F92" s="507">
        <v>1500000</v>
      </c>
      <c r="G92" s="508"/>
      <c r="H92" s="508"/>
      <c r="I92" s="509"/>
    </row>
    <row r="93" spans="1:74" x14ac:dyDescent="0.3">
      <c r="A93" s="384">
        <v>2</v>
      </c>
      <c r="B93" s="493" t="s">
        <v>402</v>
      </c>
      <c r="C93" s="494"/>
      <c r="D93" s="495"/>
      <c r="F93" s="507">
        <v>1200000</v>
      </c>
      <c r="G93" s="508"/>
      <c r="H93" s="508"/>
      <c r="I93" s="509"/>
    </row>
    <row r="94" spans="1:74" x14ac:dyDescent="0.3">
      <c r="A94" s="384">
        <v>3</v>
      </c>
      <c r="B94" s="493" t="s">
        <v>403</v>
      </c>
      <c r="C94" s="494"/>
      <c r="D94" s="495"/>
      <c r="F94" s="507">
        <v>2000000</v>
      </c>
      <c r="G94" s="508"/>
      <c r="H94" s="508"/>
      <c r="I94" s="509"/>
    </row>
    <row r="95" spans="1:74" x14ac:dyDescent="0.3">
      <c r="A95" s="384">
        <v>4</v>
      </c>
      <c r="B95" s="493" t="s">
        <v>404</v>
      </c>
      <c r="C95" s="494"/>
      <c r="D95" s="495"/>
      <c r="F95" s="507">
        <v>230000</v>
      </c>
      <c r="G95" s="508"/>
      <c r="H95" s="508"/>
      <c r="I95" s="509"/>
    </row>
    <row r="96" spans="1:74" s="31" customFormat="1" ht="31.2" customHeight="1" x14ac:dyDescent="0.3">
      <c r="A96" s="384">
        <v>5</v>
      </c>
      <c r="B96" s="490" t="s">
        <v>405</v>
      </c>
      <c r="C96" s="491"/>
      <c r="D96" s="492"/>
      <c r="E96" s="129"/>
      <c r="F96" s="510">
        <v>550000</v>
      </c>
      <c r="G96" s="511"/>
      <c r="H96" s="511"/>
      <c r="I96" s="512"/>
      <c r="J96" s="3"/>
      <c r="K96" s="3"/>
      <c r="L96" s="3"/>
      <c r="M96" s="400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</row>
    <row r="97" spans="1:70" x14ac:dyDescent="0.3">
      <c r="A97" s="384">
        <v>6</v>
      </c>
      <c r="B97" s="493" t="s">
        <v>407</v>
      </c>
      <c r="C97" s="494"/>
      <c r="D97" s="495"/>
      <c r="F97" s="507">
        <v>5470000</v>
      </c>
      <c r="G97" s="508"/>
      <c r="H97" s="508"/>
      <c r="I97" s="509"/>
    </row>
    <row r="98" spans="1:70" x14ac:dyDescent="0.3">
      <c r="A98" s="384">
        <v>7</v>
      </c>
      <c r="B98" s="493" t="s">
        <v>408</v>
      </c>
      <c r="C98" s="494"/>
      <c r="D98" s="495"/>
      <c r="F98" s="507">
        <v>200000</v>
      </c>
      <c r="G98" s="508"/>
      <c r="H98" s="508"/>
      <c r="I98" s="509"/>
    </row>
    <row r="99" spans="1:70" x14ac:dyDescent="0.3">
      <c r="A99" s="384">
        <v>8</v>
      </c>
      <c r="B99" s="493" t="s">
        <v>409</v>
      </c>
      <c r="C99" s="494"/>
      <c r="D99" s="495"/>
      <c r="F99" s="507">
        <v>320000</v>
      </c>
      <c r="G99" s="508"/>
      <c r="H99" s="508"/>
      <c r="I99" s="509"/>
      <c r="J99" s="393" t="s">
        <v>413</v>
      </c>
    </row>
    <row r="100" spans="1:70" x14ac:dyDescent="0.3">
      <c r="A100" s="384">
        <v>9</v>
      </c>
      <c r="B100" s="493" t="s">
        <v>410</v>
      </c>
      <c r="C100" s="494"/>
      <c r="D100" s="495"/>
      <c r="F100" s="507">
        <v>374000</v>
      </c>
      <c r="G100" s="508"/>
      <c r="H100" s="508"/>
      <c r="I100" s="509"/>
      <c r="J100" s="393" t="s">
        <v>413</v>
      </c>
    </row>
    <row r="101" spans="1:70" x14ac:dyDescent="0.3">
      <c r="A101" s="384">
        <v>10</v>
      </c>
      <c r="B101" s="405" t="s">
        <v>411</v>
      </c>
      <c r="C101" s="406"/>
      <c r="D101" s="407"/>
      <c r="F101" s="507">
        <v>103000</v>
      </c>
      <c r="G101" s="508"/>
      <c r="H101" s="508"/>
      <c r="I101" s="509"/>
      <c r="J101" s="393" t="s">
        <v>413</v>
      </c>
    </row>
    <row r="102" spans="1:70" x14ac:dyDescent="0.3">
      <c r="A102" s="384">
        <v>11</v>
      </c>
      <c r="B102" s="405" t="s">
        <v>412</v>
      </c>
      <c r="C102" s="406"/>
      <c r="D102" s="407"/>
      <c r="F102" s="507">
        <v>424000</v>
      </c>
      <c r="G102" s="508"/>
      <c r="H102" s="508"/>
      <c r="I102" s="509"/>
      <c r="J102" s="393" t="s">
        <v>413</v>
      </c>
    </row>
    <row r="103" spans="1:70" s="6" customFormat="1" x14ac:dyDescent="0.3">
      <c r="A103" s="388"/>
      <c r="B103" s="496" t="s">
        <v>27</v>
      </c>
      <c r="C103" s="497"/>
      <c r="D103" s="498"/>
      <c r="E103" s="381"/>
      <c r="F103" s="504">
        <f>SUM(F92:I102)</f>
        <v>12371000</v>
      </c>
      <c r="G103" s="505"/>
      <c r="H103" s="505"/>
      <c r="I103" s="506"/>
      <c r="J103" s="382"/>
      <c r="K103" s="382"/>
      <c r="L103" s="382"/>
      <c r="M103" s="399"/>
      <c r="N103" s="382"/>
      <c r="O103" s="382"/>
      <c r="P103" s="382"/>
      <c r="Q103" s="382"/>
      <c r="R103" s="382"/>
      <c r="S103" s="382"/>
      <c r="T103" s="382"/>
      <c r="U103" s="382"/>
      <c r="V103" s="382"/>
      <c r="W103" s="382"/>
      <c r="X103" s="382"/>
      <c r="Y103" s="382"/>
      <c r="Z103" s="382"/>
      <c r="AA103" s="382"/>
      <c r="AB103" s="382"/>
      <c r="AC103" s="382"/>
      <c r="AD103" s="382"/>
      <c r="AE103" s="382"/>
      <c r="AF103" s="382"/>
      <c r="AG103" s="382"/>
      <c r="AH103" s="382"/>
      <c r="AI103" s="382"/>
      <c r="AJ103" s="382"/>
      <c r="AK103" s="382"/>
      <c r="AL103" s="382"/>
      <c r="AM103" s="382"/>
      <c r="AN103" s="382"/>
      <c r="AO103" s="382"/>
      <c r="AP103" s="382"/>
      <c r="AQ103" s="382"/>
      <c r="AR103" s="382"/>
      <c r="AS103" s="382"/>
      <c r="AT103" s="382"/>
      <c r="AU103" s="382"/>
      <c r="AV103" s="382"/>
      <c r="AW103" s="382"/>
      <c r="AX103" s="382"/>
      <c r="AY103" s="382"/>
      <c r="AZ103" s="382"/>
      <c r="BA103" s="382"/>
      <c r="BB103" s="382"/>
      <c r="BC103" s="382"/>
      <c r="BD103" s="382"/>
      <c r="BE103" s="382"/>
      <c r="BF103" s="382"/>
      <c r="BG103" s="382"/>
      <c r="BH103" s="382"/>
      <c r="BI103" s="382"/>
      <c r="BJ103" s="382"/>
      <c r="BK103" s="382"/>
      <c r="BL103" s="382"/>
      <c r="BM103" s="382"/>
      <c r="BN103" s="382"/>
      <c r="BO103" s="382"/>
      <c r="BP103" s="382"/>
      <c r="BQ103" s="382"/>
      <c r="BR103" s="382"/>
    </row>
  </sheetData>
  <mergeCells count="39">
    <mergeCell ref="F92:I92"/>
    <mergeCell ref="F98:I98"/>
    <mergeCell ref="F97:I97"/>
    <mergeCell ref="F96:I96"/>
    <mergeCell ref="F95:I95"/>
    <mergeCell ref="F94:I94"/>
    <mergeCell ref="F93:I93"/>
    <mergeCell ref="F101:I101"/>
    <mergeCell ref="F102:I102"/>
    <mergeCell ref="B103:D103"/>
    <mergeCell ref="F103:I103"/>
    <mergeCell ref="F100:I100"/>
    <mergeCell ref="F99:I99"/>
    <mergeCell ref="B98:D98"/>
    <mergeCell ref="B99:D99"/>
    <mergeCell ref="B100:D100"/>
    <mergeCell ref="B95:D95"/>
    <mergeCell ref="B96:D96"/>
    <mergeCell ref="B97:D97"/>
    <mergeCell ref="B92:D92"/>
    <mergeCell ref="B93:D93"/>
    <mergeCell ref="B94:D94"/>
    <mergeCell ref="BR3:BR4"/>
    <mergeCell ref="BS3:BS4"/>
    <mergeCell ref="BT3:BT4"/>
    <mergeCell ref="BU3:BU4"/>
    <mergeCell ref="A90:I90"/>
    <mergeCell ref="B91:D91"/>
    <mergeCell ref="F91:I91"/>
    <mergeCell ref="A1:BU1"/>
    <mergeCell ref="F2:S2"/>
    <mergeCell ref="T2:AW2"/>
    <mergeCell ref="AX2:BO2"/>
    <mergeCell ref="A3:A4"/>
    <mergeCell ref="B3:B4"/>
    <mergeCell ref="C3:C4"/>
    <mergeCell ref="D3:D4"/>
    <mergeCell ref="BP3:BP4"/>
    <mergeCell ref="BQ3:BQ4"/>
  </mergeCells>
  <conditionalFormatting sqref="E86:BS86">
    <cfRule type="expression" dxfId="0" priority="1">
      <formula>IF(E$4="cn",1,0)</formula>
    </cfRule>
  </conditionalFormatting>
  <pageMargins left="0.7" right="0.7" top="0.75" bottom="0.75" header="0.3" footer="0.3"/>
  <pageSetup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13</vt:i4>
      </vt:variant>
    </vt:vector>
  </HeadingPairs>
  <TitlesOfParts>
    <vt:vector size="3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11</vt:lpstr>
      <vt:lpstr>12</vt:lpstr>
      <vt:lpstr>13</vt:lpstr>
      <vt:lpstr>CC</vt:lpstr>
      <vt:lpstr>Chi Phí</vt:lpstr>
      <vt:lpstr>TH công</vt:lpstr>
      <vt:lpstr>TH Thu chi</vt:lpstr>
      <vt:lpstr>Thanh toán KL</vt:lpstr>
      <vt:lpstr>TK KL</vt:lpstr>
      <vt:lpstr>Nhà Diễm</vt:lpstr>
      <vt:lpstr>Nhà cô Năm</vt:lpstr>
      <vt:lpstr>Sheet2</vt:lpstr>
      <vt:lpstr>'2'!Print_Area</vt:lpstr>
      <vt:lpstr>'3'!Print_Area</vt:lpstr>
      <vt:lpstr>'4'!Print_Area</vt:lpstr>
      <vt:lpstr>'6'!Print_Area</vt:lpstr>
      <vt:lpstr>'7'!Print_Area</vt:lpstr>
      <vt:lpstr>'8'!Print_Area</vt:lpstr>
      <vt:lpstr>CC!Print_Area</vt:lpstr>
      <vt:lpstr>'2'!Print_Titles</vt:lpstr>
      <vt:lpstr>'3'!Print_Titles</vt:lpstr>
      <vt:lpstr>'4'!Print_Titles</vt:lpstr>
      <vt:lpstr>'6'!Print_Titles</vt:lpstr>
      <vt:lpstr>'7'!Print_Titles</vt:lpstr>
      <vt:lpstr>CC!Print_Titles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cp:lastPrinted>2026-06-21T11:22:31Z</cp:lastPrinted>
  <dcterms:created xsi:type="dcterms:W3CDTF">2025-05-29T01:47:56Z</dcterms:created>
  <dcterms:modified xsi:type="dcterms:W3CDTF">2026-06-25T04:41:05Z</dcterms:modified>
</cp:coreProperties>
</file>